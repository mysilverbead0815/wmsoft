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228" codeName="{85106AD5-7665-2F1B-BB0A-E31DD656B090}"/>
  <workbookPr codeName="ThisWorkbook" defaultThemeVersion="124226"/>
  <mc:AlternateContent xmlns:mc="http://schemas.openxmlformats.org/markup-compatibility/2006">
    <mc:Choice Requires="x15">
      <x15ac:absPath xmlns:x15ac="http://schemas.microsoft.com/office/spreadsheetml/2010/11/ac" url="C:\Users\giovanni\Downloads\"/>
    </mc:Choice>
  </mc:AlternateContent>
  <xr:revisionPtr revIDLastSave="0" documentId="8_{32B558FE-3BB5-489D-88ED-4B7C5742FC22}" xr6:coauthVersionLast="45" xr6:coauthVersionMax="45" xr10:uidLastSave="{00000000-0000-0000-0000-000000000000}"/>
  <bookViews>
    <workbookView xWindow="735" yWindow="735" windowWidth="12300" windowHeight="11835" firstSheet="3" activeTab="8" xr2:uid="{00000000-000D-0000-FFFF-FFFF00000000}"/>
  </bookViews>
  <sheets>
    <sheet name="Office" sheetId="16" r:id="rId1"/>
    <sheet name="TEC-Master" sheetId="19" r:id="rId2"/>
    <sheet name="HVACR- Master" sheetId="20" r:id="rId3"/>
    <sheet name="Report" sheetId="15" r:id="rId4"/>
    <sheet name="HVAC" sheetId="2" r:id="rId5"/>
    <sheet name="Sheet1" sheetId="21" r:id="rId6"/>
    <sheet name="Appliances" sheetId="3" r:id="rId7"/>
    <sheet name="Envelope" sheetId="5" r:id="rId8"/>
    <sheet name="Performance" sheetId="9" r:id="rId9"/>
    <sheet name="TEC" sheetId="17" r:id="rId10"/>
    <sheet name="HVACR" sheetId="18" r:id="rId11"/>
    <sheet name="regression" sheetId="7" r:id="rId12"/>
  </sheets>
  <definedNames>
    <definedName name="acmfg">regression!$A$16:$A$25</definedName>
    <definedName name="acsize">regression!#REF!</definedName>
    <definedName name="actype">regression!$B$14:$B$15</definedName>
    <definedName name="area">regression!$D$16:$D$20</definedName>
    <definedName name="bldgtype">regression!#REF!</definedName>
    <definedName name="dhwlocation">regression!$D$22:$D$24</definedName>
    <definedName name="dhwtype">regression!$C$22:$C$23</definedName>
    <definedName name="DIRECTION">regression!#REF!</definedName>
    <definedName name="ductlocation">regression!$D$14:$D$14</definedName>
    <definedName name="fueltype">regression!$E$22:$E$24</definedName>
    <definedName name="heatsize">regression!$C$16:$C$20</definedName>
    <definedName name="location">regression!#REF!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25" i="16" l="1"/>
  <c r="G24" i="16"/>
  <c r="C77" i="20"/>
  <c r="C76" i="20"/>
  <c r="B67" i="19"/>
  <c r="E67" i="19"/>
  <c r="B17" i="15"/>
  <c r="B2" i="15"/>
  <c r="E66" i="19"/>
  <c r="J20" i="16"/>
  <c r="F1" i="15"/>
  <c r="G22" i="16"/>
  <c r="G23" i="16"/>
  <c r="F25" i="16"/>
  <c r="G18" i="16"/>
  <c r="D17" i="9"/>
  <c r="C26" i="16"/>
  <c r="B26" i="16"/>
  <c r="B27" i="16"/>
  <c r="G13" i="16"/>
  <c r="G14" i="16"/>
  <c r="G12" i="16"/>
  <c r="K14" i="16"/>
  <c r="E14" i="16"/>
  <c r="E13" i="16"/>
  <c r="E12" i="16"/>
  <c r="G11" i="9"/>
  <c r="F9" i="15"/>
  <c r="D11" i="9"/>
  <c r="D9" i="15" s="1"/>
  <c r="G10" i="9"/>
  <c r="F8" i="15"/>
  <c r="D10" i="9"/>
  <c r="D8" i="15" s="1"/>
  <c r="G9" i="9"/>
  <c r="F7" i="15" s="1"/>
  <c r="D9" i="9"/>
  <c r="D7" i="15" s="1"/>
  <c r="A5" i="16"/>
  <c r="E68" i="19"/>
  <c r="B68" i="19"/>
  <c r="B66" i="19"/>
  <c r="C7" i="16"/>
  <c r="A7" i="16"/>
  <c r="G5" i="16"/>
  <c r="E5" i="16"/>
  <c r="C5" i="16"/>
  <c r="J14" i="16"/>
  <c r="A2" i="7"/>
  <c r="C2" i="7" s="1"/>
  <c r="F12" i="16"/>
  <c r="H14" i="16"/>
  <c r="H13" i="16"/>
  <c r="F14" i="16"/>
  <c r="F13" i="16"/>
  <c r="N8" i="16"/>
  <c r="N7" i="16"/>
  <c r="N6" i="16"/>
  <c r="N4" i="16"/>
  <c r="D12" i="15"/>
  <c r="B3" i="15"/>
  <c r="D31" i="15"/>
  <c r="D27" i="15"/>
  <c r="D22" i="15"/>
  <c r="D17" i="15"/>
  <c r="B31" i="15"/>
  <c r="B27" i="15"/>
  <c r="B22" i="15"/>
  <c r="A31" i="15"/>
  <c r="A27" i="15"/>
  <c r="A22" i="15"/>
  <c r="A17" i="15"/>
  <c r="B12" i="15"/>
  <c r="A12" i="15"/>
  <c r="D2" i="15"/>
  <c r="D3" i="15"/>
  <c r="B1" i="15"/>
  <c r="A3" i="20" s="1"/>
  <c r="B73" i="20"/>
  <c r="C73" i="20"/>
  <c r="D73" i="20"/>
  <c r="B74" i="20"/>
  <c r="C74" i="20"/>
  <c r="D74" i="20"/>
  <c r="B75" i="20"/>
  <c r="C75" i="20"/>
  <c r="D75" i="20"/>
  <c r="C72" i="20"/>
  <c r="D72" i="20"/>
  <c r="B72" i="20"/>
  <c r="B69" i="20"/>
  <c r="C69" i="20"/>
  <c r="D69" i="20"/>
  <c r="B70" i="20"/>
  <c r="C70" i="20"/>
  <c r="D70" i="20"/>
  <c r="C68" i="20"/>
  <c r="D68" i="20"/>
  <c r="B68" i="20"/>
  <c r="B65" i="20"/>
  <c r="C65" i="20"/>
  <c r="D65" i="20"/>
  <c r="B66" i="20"/>
  <c r="C66" i="20"/>
  <c r="D66" i="20"/>
  <c r="C64" i="20"/>
  <c r="D64" i="20"/>
  <c r="B64" i="20"/>
  <c r="B59" i="20"/>
  <c r="C59" i="20"/>
  <c r="D59" i="20"/>
  <c r="B60" i="20"/>
  <c r="C60" i="20"/>
  <c r="D60" i="20"/>
  <c r="B61" i="20"/>
  <c r="C61" i="20"/>
  <c r="D61" i="20"/>
  <c r="B62" i="20"/>
  <c r="C62" i="20"/>
  <c r="D62" i="20"/>
  <c r="C58" i="20"/>
  <c r="D58" i="20"/>
  <c r="B58" i="20"/>
  <c r="B52" i="20"/>
  <c r="C52" i="20"/>
  <c r="D52" i="20"/>
  <c r="B53" i="20"/>
  <c r="C53" i="20"/>
  <c r="D53" i="20"/>
  <c r="B54" i="20"/>
  <c r="C54" i="20"/>
  <c r="D54" i="20"/>
  <c r="C51" i="20"/>
  <c r="D51" i="20"/>
  <c r="B51" i="20"/>
  <c r="B46" i="20"/>
  <c r="C46" i="20"/>
  <c r="D46" i="20"/>
  <c r="B47" i="20"/>
  <c r="C47" i="20"/>
  <c r="D47" i="20"/>
  <c r="B48" i="20"/>
  <c r="C48" i="20"/>
  <c r="D48" i="20"/>
  <c r="B49" i="20"/>
  <c r="C49" i="20"/>
  <c r="D49" i="20"/>
  <c r="C45" i="20"/>
  <c r="D45" i="20"/>
  <c r="B45" i="20"/>
  <c r="B35" i="20"/>
  <c r="C35" i="20"/>
  <c r="D35" i="20"/>
  <c r="B36" i="20"/>
  <c r="C36" i="20"/>
  <c r="D36" i="20"/>
  <c r="C34" i="20"/>
  <c r="D34" i="20"/>
  <c r="B34" i="20"/>
  <c r="B26" i="20"/>
  <c r="C26" i="20"/>
  <c r="D26" i="20"/>
  <c r="B27" i="20"/>
  <c r="C27" i="20"/>
  <c r="D27" i="20"/>
  <c r="B28" i="20"/>
  <c r="C28" i="20"/>
  <c r="D28" i="20"/>
  <c r="B29" i="20"/>
  <c r="C29" i="20"/>
  <c r="D29" i="20"/>
  <c r="B30" i="20"/>
  <c r="C30" i="20"/>
  <c r="D30" i="20"/>
  <c r="B31" i="20"/>
  <c r="C31" i="20"/>
  <c r="D31" i="20"/>
  <c r="B32" i="20"/>
  <c r="C32" i="20"/>
  <c r="D32" i="20"/>
  <c r="C25" i="20"/>
  <c r="D25" i="20"/>
  <c r="B25" i="20"/>
  <c r="B64" i="19"/>
  <c r="C64" i="19"/>
  <c r="D64" i="19"/>
  <c r="E64" i="19"/>
  <c r="B65" i="19"/>
  <c r="C65" i="19"/>
  <c r="D65" i="19"/>
  <c r="E65" i="19"/>
  <c r="E63" i="19"/>
  <c r="C63" i="19"/>
  <c r="D63" i="19"/>
  <c r="B63" i="19"/>
  <c r="B56" i="19"/>
  <c r="C56" i="19"/>
  <c r="D56" i="19"/>
  <c r="E56" i="19"/>
  <c r="B57" i="19"/>
  <c r="C57" i="19"/>
  <c r="D57" i="19"/>
  <c r="E57" i="19"/>
  <c r="B58" i="19"/>
  <c r="C58" i="19"/>
  <c r="D58" i="19"/>
  <c r="E58" i="19"/>
  <c r="B59" i="19"/>
  <c r="C59" i="19"/>
  <c r="D59" i="19"/>
  <c r="E59" i="19"/>
  <c r="B60" i="19"/>
  <c r="C60" i="19"/>
  <c r="D60" i="19"/>
  <c r="E60" i="19"/>
  <c r="B61" i="19"/>
  <c r="C61" i="19"/>
  <c r="D61" i="19"/>
  <c r="E61" i="19"/>
  <c r="C55" i="19"/>
  <c r="D55" i="19"/>
  <c r="E55" i="19"/>
  <c r="B55" i="19"/>
  <c r="B49" i="19"/>
  <c r="C49" i="19"/>
  <c r="D49" i="19"/>
  <c r="E49" i="19"/>
  <c r="B50" i="19"/>
  <c r="C50" i="19"/>
  <c r="D50" i="19"/>
  <c r="E50" i="19"/>
  <c r="B51" i="19"/>
  <c r="C51" i="19"/>
  <c r="D51" i="19"/>
  <c r="E51" i="19"/>
  <c r="B52" i="19"/>
  <c r="C52" i="19"/>
  <c r="D52" i="19"/>
  <c r="E52" i="19"/>
  <c r="B53" i="19"/>
  <c r="C53" i="19"/>
  <c r="D53" i="19"/>
  <c r="E53" i="19"/>
  <c r="C48" i="19"/>
  <c r="D48" i="19"/>
  <c r="E48" i="19"/>
  <c r="B48" i="19"/>
  <c r="B42" i="19"/>
  <c r="C42" i="19"/>
  <c r="D42" i="19"/>
  <c r="E42" i="19"/>
  <c r="B43" i="19"/>
  <c r="C43" i="19"/>
  <c r="D43" i="19"/>
  <c r="E43" i="19"/>
  <c r="B44" i="19"/>
  <c r="C44" i="19"/>
  <c r="D44" i="19"/>
  <c r="E44" i="19"/>
  <c r="B45" i="19"/>
  <c r="C45" i="19"/>
  <c r="D45" i="19"/>
  <c r="E45" i="19"/>
  <c r="C41" i="19"/>
  <c r="D41" i="19"/>
  <c r="E41" i="19"/>
  <c r="B41" i="19"/>
  <c r="B37" i="19"/>
  <c r="C37" i="19"/>
  <c r="D37" i="19"/>
  <c r="E37" i="19"/>
  <c r="B38" i="19"/>
  <c r="C38" i="19"/>
  <c r="D38" i="19"/>
  <c r="E38" i="19"/>
  <c r="B39" i="19"/>
  <c r="C39" i="19"/>
  <c r="D39" i="19"/>
  <c r="E39" i="19"/>
  <c r="C36" i="19"/>
  <c r="D36" i="19"/>
  <c r="E36" i="19"/>
  <c r="B36" i="19"/>
  <c r="B33" i="19"/>
  <c r="C33" i="19"/>
  <c r="D33" i="19"/>
  <c r="E33" i="19"/>
  <c r="B34" i="19"/>
  <c r="C34" i="19"/>
  <c r="D34" i="19"/>
  <c r="E34" i="19"/>
  <c r="C32" i="19"/>
  <c r="D32" i="19"/>
  <c r="E32" i="19"/>
  <c r="B32" i="19"/>
  <c r="B30" i="19"/>
  <c r="C30" i="19"/>
  <c r="D30" i="19"/>
  <c r="E30" i="19"/>
  <c r="C29" i="19"/>
  <c r="D29" i="19"/>
  <c r="E29" i="19"/>
  <c r="B29" i="19"/>
  <c r="B26" i="19"/>
  <c r="C26" i="19"/>
  <c r="D26" i="19"/>
  <c r="E26" i="19"/>
  <c r="B27" i="19"/>
  <c r="C27" i="19"/>
  <c r="D27" i="19"/>
  <c r="E27" i="19"/>
  <c r="C25" i="19"/>
  <c r="D25" i="19"/>
  <c r="E25" i="19"/>
  <c r="B25" i="19"/>
  <c r="B16" i="19"/>
  <c r="C16" i="19"/>
  <c r="D16" i="19"/>
  <c r="E16" i="19"/>
  <c r="B17" i="19"/>
  <c r="C17" i="19"/>
  <c r="D17" i="19"/>
  <c r="E17" i="19"/>
  <c r="B18" i="19"/>
  <c r="C18" i="19"/>
  <c r="D18" i="19"/>
  <c r="E18" i="19"/>
  <c r="B19" i="19"/>
  <c r="C19" i="19"/>
  <c r="D19" i="19"/>
  <c r="E19" i="19"/>
  <c r="B20" i="19"/>
  <c r="C20" i="19"/>
  <c r="D20" i="19"/>
  <c r="E20" i="19"/>
  <c r="B21" i="19"/>
  <c r="C21" i="19"/>
  <c r="D21" i="19"/>
  <c r="E21" i="19"/>
  <c r="B22" i="19"/>
  <c r="C22" i="19"/>
  <c r="D22" i="19"/>
  <c r="E22" i="19"/>
  <c r="B23" i="19"/>
  <c r="C23" i="19"/>
  <c r="D23" i="19"/>
  <c r="E23" i="19"/>
  <c r="C15" i="19"/>
  <c r="D15" i="19"/>
  <c r="E15" i="19"/>
  <c r="B15" i="19"/>
  <c r="B10" i="19"/>
  <c r="C10" i="19"/>
  <c r="D10" i="19"/>
  <c r="E10" i="19"/>
  <c r="B11" i="19"/>
  <c r="C11" i="19"/>
  <c r="D11" i="19"/>
  <c r="E11" i="19"/>
  <c r="C9" i="19"/>
  <c r="D9" i="19"/>
  <c r="E9" i="19"/>
  <c r="B9" i="19"/>
  <c r="B6" i="19"/>
  <c r="C6" i="19"/>
  <c r="D6" i="19"/>
  <c r="E6" i="19"/>
  <c r="C5" i="19"/>
  <c r="D5" i="19"/>
  <c r="E5" i="19"/>
  <c r="B5" i="19"/>
  <c r="J28" i="16"/>
  <c r="F16" i="9"/>
  <c r="J26" i="16"/>
  <c r="J24" i="16"/>
  <c r="J22" i="16"/>
  <c r="D31" i="16"/>
  <c r="C31" i="16"/>
  <c r="H27" i="16"/>
  <c r="F24" i="16"/>
  <c r="F22" i="16"/>
  <c r="H30" i="16"/>
  <c r="F30" i="16"/>
  <c r="D32" i="16"/>
  <c r="C32" i="16"/>
  <c r="B32" i="16"/>
  <c r="B31" i="16"/>
  <c r="B25" i="16"/>
  <c r="B24" i="16"/>
  <c r="C24" i="16"/>
  <c r="C22" i="16"/>
  <c r="B23" i="16"/>
  <c r="B22" i="16"/>
  <c r="H25" i="16"/>
  <c r="H24" i="16"/>
  <c r="I26" i="16"/>
  <c r="I27" i="16"/>
  <c r="I25" i="16"/>
  <c r="G27" i="16"/>
  <c r="F27" i="16"/>
  <c r="F23" i="16"/>
  <c r="K18" i="16"/>
  <c r="J18" i="16"/>
  <c r="I18" i="16"/>
  <c r="H18" i="16"/>
  <c r="E18" i="16"/>
  <c r="D18" i="16"/>
  <c r="C18" i="16"/>
  <c r="B18" i="16"/>
  <c r="A18" i="16"/>
  <c r="B6" i="7"/>
  <c r="H6" i="7" s="1"/>
  <c r="B5" i="7"/>
  <c r="H5" i="7" s="1"/>
  <c r="B4" i="7"/>
  <c r="H4" i="7" s="1"/>
  <c r="B3" i="7"/>
  <c r="H3" i="7" s="1"/>
  <c r="B2" i="7"/>
  <c r="D2" i="7" s="1"/>
  <c r="A6" i="7"/>
  <c r="G6" i="7" s="1"/>
  <c r="A5" i="7"/>
  <c r="C5" i="7" s="1"/>
  <c r="A3" i="7"/>
  <c r="C3" i="7" s="1"/>
  <c r="F3" i="7" s="1"/>
  <c r="A4" i="7"/>
  <c r="G4" i="7" s="1"/>
  <c r="C17" i="9"/>
  <c r="B17" i="9"/>
  <c r="A3" i="19"/>
  <c r="H12" i="16" l="1"/>
  <c r="D6" i="7"/>
  <c r="C6" i="7"/>
  <c r="F6" i="7" s="1"/>
  <c r="D5" i="7"/>
  <c r="E5" i="7" s="1"/>
  <c r="D4" i="7"/>
  <c r="D3" i="7"/>
  <c r="E3" i="7" s="1"/>
  <c r="H2" i="7"/>
  <c r="H7" i="7" s="1"/>
  <c r="J5" i="7" s="1"/>
  <c r="M5" i="7" s="1"/>
  <c r="C4" i="7"/>
  <c r="G3" i="7"/>
  <c r="F2" i="7"/>
  <c r="E2" i="7"/>
  <c r="G2" i="7"/>
  <c r="F5" i="7"/>
  <c r="G5" i="7"/>
  <c r="C7" i="7" l="1"/>
  <c r="C10" i="7" s="1"/>
  <c r="D7" i="7"/>
  <c r="E6" i="7"/>
  <c r="J3" i="7"/>
  <c r="M3" i="7" s="1"/>
  <c r="J6" i="7"/>
  <c r="M6" i="7" s="1"/>
  <c r="J4" i="7"/>
  <c r="M4" i="7" s="1"/>
  <c r="J2" i="7"/>
  <c r="M2" i="7" s="1"/>
  <c r="F4" i="7"/>
  <c r="F7" i="7" s="1"/>
  <c r="F9" i="7" s="1"/>
  <c r="E4" i="7"/>
  <c r="G7" i="7"/>
  <c r="I5" i="7" s="1"/>
  <c r="E7" i="7" l="1"/>
  <c r="E9" i="7" s="1"/>
  <c r="C9" i="7"/>
  <c r="M7" i="7"/>
  <c r="J7" i="7"/>
  <c r="L5" i="7"/>
  <c r="K5" i="7"/>
  <c r="I4" i="7"/>
  <c r="I2" i="7"/>
  <c r="I3" i="7"/>
  <c r="I6" i="7"/>
  <c r="C13" i="7" l="1"/>
  <c r="C12" i="7" s="1"/>
  <c r="A2" i="9" s="1"/>
  <c r="B11" i="16" s="1"/>
  <c r="C16" i="7"/>
  <c r="A3" i="9" s="1"/>
  <c r="B12" i="16" s="1"/>
  <c r="K6" i="7"/>
  <c r="L6" i="7"/>
  <c r="L3" i="7"/>
  <c r="K3" i="7"/>
  <c r="K2" i="7"/>
  <c r="I7" i="7"/>
  <c r="L2" i="7"/>
  <c r="K4" i="7"/>
  <c r="L4" i="7"/>
  <c r="F13" i="7" l="1"/>
  <c r="F14" i="7" s="1"/>
  <c r="A1" i="9" s="1"/>
  <c r="B14" i="16" s="1"/>
  <c r="L7" i="7"/>
  <c r="K7" i="7"/>
  <c r="C6" i="15" l="1"/>
  <c r="C14" i="7"/>
  <c r="A4" i="9" s="1"/>
  <c r="B13" i="16" s="1"/>
</calcChain>
</file>

<file path=xl/sharedStrings.xml><?xml version="1.0" encoding="utf-8"?>
<sst xmlns="http://schemas.openxmlformats.org/spreadsheetml/2006/main" count="518" uniqueCount="446">
  <si>
    <t>Address</t>
  </si>
  <si>
    <t>Front door faces</t>
  </si>
  <si>
    <t>Floors</t>
  </si>
  <si>
    <t>Bedrooms</t>
  </si>
  <si>
    <t>Bathrooms</t>
  </si>
  <si>
    <t>Type</t>
  </si>
  <si>
    <t>Model</t>
  </si>
  <si>
    <t>Return</t>
  </si>
  <si>
    <t>Supply</t>
  </si>
  <si>
    <t>Bed1</t>
  </si>
  <si>
    <t>Bed2</t>
  </si>
  <si>
    <t>Bed3</t>
  </si>
  <si>
    <t>Bed4</t>
  </si>
  <si>
    <t>Bed5</t>
  </si>
  <si>
    <t>Kitchen</t>
  </si>
  <si>
    <t>TESP</t>
  </si>
  <si>
    <t>Project/Community</t>
  </si>
  <si>
    <t>MUA</t>
  </si>
  <si>
    <t>Notes</t>
  </si>
  <si>
    <t>Total</t>
  </si>
  <si>
    <t>Out</t>
  </si>
  <si>
    <t>Duct leakage</t>
  </si>
  <si>
    <t>Envelope leakage</t>
  </si>
  <si>
    <t>Heat</t>
  </si>
  <si>
    <t>MFG</t>
  </si>
  <si>
    <t>A/H location</t>
  </si>
  <si>
    <t>Attic</t>
  </si>
  <si>
    <t>Supply location</t>
  </si>
  <si>
    <t>Return location</t>
  </si>
  <si>
    <t>Area served</t>
  </si>
  <si>
    <t>Refrigerator</t>
  </si>
  <si>
    <t>Clotheswasher</t>
  </si>
  <si>
    <t>Dishwasher</t>
  </si>
  <si>
    <t>Dryer</t>
  </si>
  <si>
    <t>Range</t>
  </si>
  <si>
    <t>DHW</t>
  </si>
  <si>
    <t>Mfg.</t>
  </si>
  <si>
    <t>Appliances</t>
  </si>
  <si>
    <t>Location</t>
  </si>
  <si>
    <t>Garage</t>
  </si>
  <si>
    <t>Interior</t>
  </si>
  <si>
    <t>Fuel</t>
  </si>
  <si>
    <t xml:space="preserve">Fuel </t>
  </si>
  <si>
    <t>Count</t>
  </si>
  <si>
    <t>Exterior</t>
  </si>
  <si>
    <t>qual. loc.</t>
  </si>
  <si>
    <t>qual. fix.</t>
  </si>
  <si>
    <t>Pa</t>
  </si>
  <si>
    <t>SGD</t>
  </si>
  <si>
    <t>1st floor wall</t>
  </si>
  <si>
    <t>2nd floor wall</t>
  </si>
  <si>
    <t>Garage wall</t>
  </si>
  <si>
    <t>SHGC</t>
  </si>
  <si>
    <t>U-factor</t>
  </si>
  <si>
    <t>Insulation type</t>
  </si>
  <si>
    <t>Σ</t>
  </si>
  <si>
    <t>cfm</t>
  </si>
  <si>
    <t>ln cfm</t>
  </si>
  <si>
    <t>n =</t>
  </si>
  <si>
    <t>C =</t>
  </si>
  <si>
    <t>R =</t>
  </si>
  <si>
    <t>I*J</t>
  </si>
  <si>
    <t>I^2</t>
  </si>
  <si>
    <t>J^2</t>
  </si>
  <si>
    <t>cfm50 =</t>
  </si>
  <si>
    <t>ACH50 =</t>
  </si>
  <si>
    <t>Common wall</t>
  </si>
  <si>
    <t>R-Value</t>
  </si>
  <si>
    <r>
      <t xml:space="preserve">Notes </t>
    </r>
    <r>
      <rPr>
        <b/>
        <i/>
        <sz val="9"/>
        <color theme="1"/>
        <rFont val="Times New Roman"/>
        <family val="1"/>
      </rPr>
      <t>(i.e., geothermal heat pump, model no. 12345, etc.)</t>
    </r>
  </si>
  <si>
    <r>
      <t xml:space="preserve">Notes </t>
    </r>
    <r>
      <rPr>
        <b/>
        <i/>
        <sz val="9"/>
        <color theme="1"/>
        <rFont val="Times New Roman"/>
        <family val="1"/>
      </rPr>
      <t>(i.e., solar hot water system model no12345, etc.)</t>
    </r>
  </si>
  <si>
    <t>Rater</t>
  </si>
  <si>
    <t>Lot</t>
  </si>
  <si>
    <r>
      <t>Window</t>
    </r>
    <r>
      <rPr>
        <vertAlign val="subscript"/>
        <sz val="11"/>
        <color theme="1"/>
        <rFont val="Times New Roman"/>
        <family val="1"/>
      </rPr>
      <t>2</t>
    </r>
  </si>
  <si>
    <r>
      <t>Window</t>
    </r>
    <r>
      <rPr>
        <vertAlign val="subscript"/>
        <sz val="11"/>
        <color theme="1"/>
        <rFont val="Times New Roman"/>
        <family val="1"/>
      </rPr>
      <t>1</t>
    </r>
  </si>
  <si>
    <r>
      <t>System</t>
    </r>
    <r>
      <rPr>
        <b/>
        <vertAlign val="subscript"/>
        <sz val="11"/>
        <color theme="1"/>
        <rFont val="Times New Roman"/>
        <family val="1"/>
      </rPr>
      <t>1</t>
    </r>
  </si>
  <si>
    <r>
      <t>System</t>
    </r>
    <r>
      <rPr>
        <b/>
        <vertAlign val="subscript"/>
        <sz val="11"/>
        <color theme="1"/>
        <rFont val="Times New Roman"/>
        <family val="1"/>
      </rPr>
      <t>2</t>
    </r>
  </si>
  <si>
    <t xml:space="preserve">C </t>
  </si>
  <si>
    <t xml:space="preserve">n </t>
  </si>
  <si>
    <t xml:space="preserve">R </t>
  </si>
  <si>
    <t>Baths</t>
  </si>
  <si>
    <t>Exhaust Fans</t>
  </si>
  <si>
    <r>
      <t>ACH</t>
    </r>
    <r>
      <rPr>
        <b/>
        <i/>
        <vertAlign val="subscript"/>
        <sz val="10"/>
        <color theme="1"/>
        <rFont val="Times New Roman"/>
        <family val="1"/>
      </rPr>
      <t xml:space="preserve">50 </t>
    </r>
  </si>
  <si>
    <r>
      <t>MUA</t>
    </r>
    <r>
      <rPr>
        <b/>
        <i/>
        <vertAlign val="subscript"/>
        <sz val="10"/>
        <color theme="1"/>
        <rFont val="Times New Roman"/>
        <family val="1"/>
      </rPr>
      <t xml:space="preserve">1 </t>
    </r>
  </si>
  <si>
    <r>
      <t>MUA</t>
    </r>
    <r>
      <rPr>
        <b/>
        <i/>
        <vertAlign val="subscript"/>
        <sz val="10"/>
        <color theme="1"/>
        <rFont val="Times New Roman"/>
        <family val="1"/>
      </rPr>
      <t xml:space="preserve">2 </t>
    </r>
  </si>
  <si>
    <t>Bedroom Δ Pa</t>
  </si>
  <si>
    <r>
      <t>Bath</t>
    </r>
    <r>
      <rPr>
        <b/>
        <i/>
        <vertAlign val="subscript"/>
        <sz val="10"/>
        <color theme="1"/>
        <rFont val="Times New Roman"/>
        <family val="1"/>
      </rPr>
      <t>1</t>
    </r>
  </si>
  <si>
    <r>
      <t>Bath</t>
    </r>
    <r>
      <rPr>
        <b/>
        <i/>
        <vertAlign val="subscript"/>
        <sz val="10"/>
        <color theme="1"/>
        <rFont val="Times New Roman"/>
        <family val="1"/>
      </rPr>
      <t>2</t>
    </r>
  </si>
  <si>
    <r>
      <t>Bath</t>
    </r>
    <r>
      <rPr>
        <b/>
        <i/>
        <vertAlign val="subscript"/>
        <sz val="10"/>
        <color theme="1"/>
        <rFont val="Times New Roman"/>
        <family val="1"/>
      </rPr>
      <t>3</t>
    </r>
  </si>
  <si>
    <r>
      <t>Bath</t>
    </r>
    <r>
      <rPr>
        <b/>
        <i/>
        <vertAlign val="subscript"/>
        <sz val="10"/>
        <color theme="1"/>
        <rFont val="Times New Roman"/>
        <family val="1"/>
      </rPr>
      <t>4</t>
    </r>
  </si>
  <si>
    <t>Mfg</t>
  </si>
  <si>
    <r>
      <t>Compressor</t>
    </r>
    <r>
      <rPr>
        <b/>
        <i/>
        <vertAlign val="subscript"/>
        <sz val="10"/>
        <color theme="1"/>
        <rFont val="Times New Roman"/>
        <family val="1"/>
      </rPr>
      <t>1</t>
    </r>
  </si>
  <si>
    <r>
      <t>Air Handler</t>
    </r>
    <r>
      <rPr>
        <b/>
        <i/>
        <vertAlign val="subscript"/>
        <sz val="10"/>
        <color theme="1"/>
        <rFont val="Times New Roman"/>
        <family val="1"/>
      </rPr>
      <t>1</t>
    </r>
  </si>
  <si>
    <r>
      <t>Compressor</t>
    </r>
    <r>
      <rPr>
        <b/>
        <i/>
        <vertAlign val="subscript"/>
        <sz val="10"/>
        <color theme="1"/>
        <rFont val="Times New Roman"/>
        <family val="1"/>
      </rPr>
      <t>2</t>
    </r>
  </si>
  <si>
    <r>
      <t>AirHandler</t>
    </r>
    <r>
      <rPr>
        <b/>
        <i/>
        <vertAlign val="subscript"/>
        <sz val="10"/>
        <color theme="1"/>
        <rFont val="Times New Roman"/>
        <family val="1"/>
      </rPr>
      <t>2</t>
    </r>
  </si>
  <si>
    <t>A/H model no.</t>
  </si>
  <si>
    <t>HVAC</t>
  </si>
  <si>
    <t>Clothes</t>
  </si>
  <si>
    <t>Dhw</t>
  </si>
  <si>
    <t>Refer</t>
  </si>
  <si>
    <t>Dish</t>
  </si>
  <si>
    <t>Qual. Location</t>
  </si>
  <si>
    <t>Qual Fixtures</t>
  </si>
  <si>
    <t>Certification</t>
  </si>
  <si>
    <t>Lighting</t>
  </si>
  <si>
    <t>Ceiling Fans</t>
  </si>
  <si>
    <t>Pool Pump</t>
  </si>
  <si>
    <t>Results</t>
  </si>
  <si>
    <t>Inspection Date</t>
  </si>
  <si>
    <t>Inspection Type</t>
  </si>
  <si>
    <t>Send correction pictures to: kimberly.james@e3buildingsciences.com  (239) 949.2405</t>
  </si>
  <si>
    <t>Sqft</t>
  </si>
  <si>
    <t>Final</t>
  </si>
  <si>
    <t>Result</t>
  </si>
  <si>
    <t>Inspection Dates</t>
  </si>
  <si>
    <t>Wall height</t>
  </si>
  <si>
    <t>1st floor sqft</t>
  </si>
  <si>
    <t>2nd floor sqft</t>
  </si>
  <si>
    <r>
      <rPr>
        <i/>
        <sz val="9"/>
        <color theme="1"/>
        <rFont val="Times New Roman"/>
        <family val="1"/>
      </rPr>
      <t>ln</t>
    </r>
    <r>
      <rPr>
        <sz val="9"/>
        <color theme="1"/>
        <rFont val="Times New Roman"/>
        <family val="1"/>
      </rPr>
      <t>Pa</t>
    </r>
  </si>
  <si>
    <r>
      <rPr>
        <i/>
        <sz val="9"/>
        <color theme="1"/>
        <rFont val="Times New Roman"/>
        <family val="1"/>
      </rPr>
      <t>ln</t>
    </r>
    <r>
      <rPr>
        <sz val="9"/>
        <color theme="1"/>
        <rFont val="Times New Roman"/>
        <family val="1"/>
      </rPr>
      <t>Pa*</t>
    </r>
    <r>
      <rPr>
        <i/>
        <sz val="9"/>
        <color theme="1"/>
        <rFont val="Times New Roman"/>
        <family val="1"/>
      </rPr>
      <t>ln</t>
    </r>
    <r>
      <rPr>
        <sz val="9"/>
        <color theme="1"/>
        <rFont val="Times New Roman"/>
        <family val="1"/>
      </rPr>
      <t>cfm</t>
    </r>
  </si>
  <si>
    <r>
      <rPr>
        <i/>
        <sz val="9"/>
        <color theme="1"/>
        <rFont val="Times New Roman"/>
        <family val="1"/>
      </rPr>
      <t>ln</t>
    </r>
    <r>
      <rPr>
        <sz val="9"/>
        <color theme="1"/>
        <rFont val="Times New Roman"/>
        <family val="1"/>
      </rPr>
      <t>Pa^2</t>
    </r>
  </si>
  <si>
    <r>
      <rPr>
        <i/>
        <sz val="9"/>
        <color theme="1"/>
        <rFont val="Times New Roman"/>
        <family val="1"/>
      </rPr>
      <t xml:space="preserve">log </t>
    </r>
    <r>
      <rPr>
        <sz val="9"/>
        <color theme="1"/>
        <rFont val="Times New Roman"/>
        <family val="1"/>
      </rPr>
      <t>Pa</t>
    </r>
  </si>
  <si>
    <r>
      <rPr>
        <i/>
        <sz val="9"/>
        <color theme="1"/>
        <rFont val="Times New Roman"/>
        <family val="1"/>
      </rPr>
      <t>log</t>
    </r>
    <r>
      <rPr>
        <sz val="9"/>
        <color theme="1"/>
        <rFont val="Times New Roman"/>
        <family val="1"/>
      </rPr>
      <t xml:space="preserve"> cfm</t>
    </r>
  </si>
  <si>
    <r>
      <rPr>
        <i/>
        <sz val="9"/>
        <color theme="1"/>
        <rFont val="Times New Roman"/>
        <family val="1"/>
      </rPr>
      <t>log</t>
    </r>
    <r>
      <rPr>
        <sz val="9"/>
        <color theme="1"/>
        <rFont val="Times New Roman"/>
        <family val="1"/>
      </rPr>
      <t xml:space="preserve"> Pa - </t>
    </r>
    <r>
      <rPr>
        <i/>
        <sz val="9"/>
        <color theme="1"/>
        <rFont val="Times New Roman"/>
        <family val="1"/>
      </rPr>
      <t>µlog</t>
    </r>
    <r>
      <rPr>
        <sz val="9"/>
        <color theme="1"/>
        <rFont val="Times New Roman"/>
        <family val="1"/>
      </rPr>
      <t xml:space="preserve"> Pa</t>
    </r>
  </si>
  <si>
    <r>
      <rPr>
        <i/>
        <sz val="9"/>
        <color theme="1"/>
        <rFont val="Times New Roman"/>
        <family val="1"/>
      </rPr>
      <t>log</t>
    </r>
    <r>
      <rPr>
        <sz val="9"/>
        <color theme="1"/>
        <rFont val="Times New Roman"/>
        <family val="1"/>
      </rPr>
      <t xml:space="preserve"> cfm - </t>
    </r>
    <r>
      <rPr>
        <i/>
        <sz val="9"/>
        <color theme="1"/>
        <rFont val="Times New Roman"/>
        <family val="1"/>
      </rPr>
      <t>µlog</t>
    </r>
    <r>
      <rPr>
        <sz val="9"/>
        <color theme="1"/>
        <rFont val="Times New Roman"/>
        <family val="1"/>
      </rPr>
      <t xml:space="preserve"> cfm</t>
    </r>
  </si>
  <si>
    <r>
      <t xml:space="preserve">Notes </t>
    </r>
    <r>
      <rPr>
        <b/>
        <i/>
        <sz val="9"/>
        <color theme="1"/>
        <rFont val="Times New Roman"/>
        <family val="1"/>
      </rPr>
      <t>(i.e., radiant barrier, R-30 foam at roof deck, etc.)</t>
    </r>
  </si>
  <si>
    <t>ACH50</t>
  </si>
  <si>
    <t>System1</t>
  </si>
  <si>
    <t>System 2</t>
  </si>
  <si>
    <t>Performance</t>
  </si>
  <si>
    <t>Builder Sign-off</t>
  </si>
  <si>
    <t>Sign-off date</t>
  </si>
  <si>
    <r>
      <rPr>
        <b/>
        <sz val="9"/>
        <rFont val="Arial"/>
        <family val="2"/>
      </rPr>
      <t xml:space="preserve">1.  Review of HVAC System Quality Installation Contractor Checklist </t>
    </r>
    <r>
      <rPr>
        <sz val="6"/>
        <rFont val="Arial"/>
        <family val="2"/>
      </rPr>
      <t>2</t>
    </r>
  </si>
  <si>
    <r>
      <rPr>
        <b/>
        <sz val="8"/>
        <rFont val="Arial"/>
        <family val="2"/>
      </rPr>
      <t>Must Correct</t>
    </r>
  </si>
  <si>
    <r>
      <rPr>
        <b/>
        <sz val="8"/>
        <rFont val="Arial"/>
        <family val="2"/>
      </rPr>
      <t>Rater Verified</t>
    </r>
  </si>
  <si>
    <r>
      <rPr>
        <b/>
        <sz val="8"/>
        <rFont val="Arial"/>
        <family val="2"/>
      </rPr>
      <t>N/A</t>
    </r>
  </si>
  <si>
    <r>
      <rPr>
        <sz val="9"/>
        <rFont val="Arial"/>
        <family val="2"/>
      </rPr>
      <t>1.1 HVAC System Quality Installation Contractor Checklist completed in its entirety and collected for records, along with documentation on ventilation system (1.3), full load calculations (2.18), and AHRI certificate (3.13).</t>
    </r>
  </si>
  <si>
    <r>
      <rPr>
        <sz val="9"/>
        <rFont val="Arial"/>
        <family val="2"/>
      </rPr>
      <t xml:space="preserve">1.2 Review the following parameters related to system cooling design, selection, and installation from the HVAC Contractor Checklist (Contractor Checklist Item # indicated in parenthesis): </t>
    </r>
    <r>
      <rPr>
        <sz val="6"/>
        <rFont val="Arial"/>
        <family val="2"/>
      </rPr>
      <t>3</t>
    </r>
  </si>
  <si>
    <r>
      <rPr>
        <sz val="9"/>
        <rFont val="Arial"/>
        <family val="2"/>
      </rPr>
      <t xml:space="preserve">1.2.1 Outdoor design temperatures (2.4) are equal to the 1% and 99% ACCA Manual J design temperatures for contractor-designated design location </t>
    </r>
    <r>
      <rPr>
        <sz val="6"/>
        <rFont val="Arial"/>
        <family val="2"/>
      </rPr>
      <t>4</t>
    </r>
  </si>
  <si>
    <r>
      <rPr>
        <sz val="9"/>
        <rFont val="Arial"/>
        <family val="2"/>
      </rPr>
      <t>1.2.2 Home orientation (2.5) matches orientation of rated home</t>
    </r>
  </si>
  <si>
    <r>
      <rPr>
        <sz val="9"/>
        <rFont val="Arial"/>
        <family val="2"/>
      </rPr>
      <t xml:space="preserve">1.2.3 Number of occupants (2.6) equals number of occupants in rated home </t>
    </r>
    <r>
      <rPr>
        <sz val="6"/>
        <rFont val="Arial"/>
        <family val="2"/>
      </rPr>
      <t>5</t>
    </r>
  </si>
  <si>
    <r>
      <rPr>
        <sz val="9"/>
        <rFont val="Arial"/>
        <family val="2"/>
      </rPr>
      <t>1.2.4 Conditioned floor area (2.7) is within ±10% of conditioned floor area of rated home</t>
    </r>
  </si>
  <si>
    <r>
      <rPr>
        <sz val="9"/>
        <rFont val="Arial"/>
        <family val="2"/>
      </rPr>
      <t>1.2.5 Window area (2.8) is within ±10% of calculated window area of rated home</t>
    </r>
  </si>
  <si>
    <r>
      <rPr>
        <sz val="9"/>
        <rFont val="Arial"/>
        <family val="2"/>
      </rPr>
      <t xml:space="preserve">1.2.6 Predominant window SHGC (2.9) is within 0.1 of predominant value in rated home </t>
    </r>
    <r>
      <rPr>
        <sz val="6"/>
        <rFont val="Arial"/>
        <family val="2"/>
      </rPr>
      <t>6</t>
    </r>
  </si>
  <si>
    <r>
      <rPr>
        <sz val="9"/>
        <rFont val="Arial"/>
        <family val="2"/>
      </rPr>
      <t>1.2.7 Listed latent cooling capacity (3.8) exceeds design latent heat gain (2.12)</t>
    </r>
  </si>
  <si>
    <r>
      <rPr>
        <sz val="9"/>
        <rFont val="Arial"/>
        <family val="2"/>
      </rPr>
      <t>1.2.8 Listed sensible cooling capacity (3.9) exceeds design sensible heat gain (2.13)</t>
    </r>
  </si>
  <si>
    <r>
      <rPr>
        <sz val="9"/>
        <rFont val="Arial"/>
        <family val="2"/>
      </rPr>
      <t xml:space="preserve">1.2.9 Listed total cooling capacity (3.10) is 95-115% (or 95-125% for Heat Pumps in Climate Zones 4-8) of design total heat gain (2.14), or next nominal size </t>
    </r>
    <r>
      <rPr>
        <sz val="6"/>
        <rFont val="Arial"/>
        <family val="2"/>
      </rPr>
      <t>7</t>
    </r>
  </si>
  <si>
    <r>
      <rPr>
        <sz val="9"/>
        <rFont val="Arial"/>
        <family val="2"/>
      </rPr>
      <t xml:space="preserve">1.2.10 HVAC manufacturer and model numbers on installed equipment, Contractor Checklist (3.1, 3.2, 5.1), and AHRI certificate or OEM catalog data all match </t>
    </r>
    <r>
      <rPr>
        <sz val="6"/>
        <rFont val="Arial"/>
        <family val="2"/>
      </rPr>
      <t>8</t>
    </r>
  </si>
  <si>
    <r>
      <rPr>
        <sz val="9"/>
        <rFont val="Arial"/>
        <family val="2"/>
      </rPr>
      <t xml:space="preserve">1.2.11 Using reported liquid line (6.3) or suction line (6.5) pressure, corresponding temperature (as determined using pressure / temperature chart for refrigerant type) matches reported condenser (7.1) or evaporator (7.5) saturation temperature (± 3 degrees) </t>
    </r>
    <r>
      <rPr>
        <sz val="6"/>
        <rFont val="Arial"/>
        <family val="2"/>
      </rPr>
      <t>9</t>
    </r>
  </si>
  <si>
    <r>
      <rPr>
        <sz val="9"/>
        <rFont val="Arial"/>
        <family val="2"/>
      </rPr>
      <t xml:space="preserve">1.2.12 Calculated subcooling (7.1 minus 6.4) value is within ±3 °F of the reported target temperature (7.3) or calculated superheat (6.6 minus 7.5) value is within ±5 °F of the reported target temperature (7.7). </t>
    </r>
    <r>
      <rPr>
        <sz val="6"/>
        <rFont val="Arial"/>
        <family val="2"/>
      </rPr>
      <t>9</t>
    </r>
  </si>
  <si>
    <r>
      <rPr>
        <sz val="9"/>
        <rFont val="Arial"/>
        <family val="2"/>
      </rPr>
      <t>1.3 Rater-verified supply &amp; return duct static pressure ≤ 110% of contractor values (9.3, 9.4)</t>
    </r>
  </si>
  <si>
    <r>
      <rPr>
        <sz val="9"/>
        <rFont val="Arial"/>
        <family val="2"/>
      </rPr>
      <t>1.4  Contractor-prepared balancing report indicating the room name and design airflow for each supply and return register collected by Rater for records. In addition, final individual room airflows measured and documented on balancing report through one of the following options:</t>
    </r>
  </si>
  <si>
    <r>
      <rPr>
        <sz val="9"/>
        <rFont val="Arial"/>
        <family val="2"/>
      </rPr>
      <t>1.4.1 Measured and documented by contractor (10.1.1), OR;</t>
    </r>
  </si>
  <si>
    <r>
      <rPr>
        <sz val="9"/>
        <rFont val="Arial"/>
        <family val="2"/>
      </rPr>
      <t>1.4.2 Measured by Rater using Section 804.2 of the Mortgage Industry National HERS Standard, documented by Rater, &amp; verified by Rater to be within the greater of ± 20% or 25 CFM of design airflow (10.1.2)</t>
    </r>
  </si>
  <si>
    <r>
      <rPr>
        <sz val="9"/>
        <rFont val="Arial"/>
        <family val="2"/>
      </rPr>
      <t xml:space="preserve">1.5 HVAC contractor holds credentials necessary to complete the HVAC System QI Contractor Checklist </t>
    </r>
    <r>
      <rPr>
        <sz val="6"/>
        <rFont val="Arial"/>
        <family val="2"/>
      </rPr>
      <t>10</t>
    </r>
  </si>
  <si>
    <r>
      <rPr>
        <b/>
        <sz val="9"/>
        <rFont val="Arial"/>
        <family val="2"/>
      </rPr>
      <t xml:space="preserve">2. Duct Quality Installation  </t>
    </r>
    <r>
      <rPr>
        <i/>
        <sz val="9"/>
        <rFont val="Arial"/>
        <family val="2"/>
      </rPr>
      <t xml:space="preserve">- Applies to All Heating, Cooling, Ventilation, Exhaust, and Pressure Balancing Ducts </t>
    </r>
    <r>
      <rPr>
        <i/>
        <sz val="6"/>
        <rFont val="Arial"/>
        <family val="2"/>
      </rPr>
      <t>11</t>
    </r>
  </si>
  <si>
    <r>
      <rPr>
        <sz val="9"/>
        <rFont val="Arial"/>
        <family val="2"/>
      </rPr>
      <t xml:space="preserve">2.1   Connections and routing of ductwork completed without kinks or sharp bends. </t>
    </r>
    <r>
      <rPr>
        <sz val="6"/>
        <rFont val="Arial"/>
        <family val="2"/>
      </rPr>
      <t>12</t>
    </r>
  </si>
  <si>
    <r>
      <rPr>
        <sz val="9"/>
        <rFont val="Arial"/>
        <family val="2"/>
      </rPr>
      <t xml:space="preserve">2.2   No excessive coiled or looped flexible ductwork. </t>
    </r>
    <r>
      <rPr>
        <sz val="6"/>
        <rFont val="Arial"/>
        <family val="2"/>
      </rPr>
      <t>13</t>
    </r>
  </si>
  <si>
    <r>
      <rPr>
        <sz val="9"/>
        <rFont val="Arial"/>
        <family val="2"/>
      </rPr>
      <t>2.3   Flexible ducts in unconditioned space not installed in cavities smaller than outer duct diameter; in conditioned space not installed in cavities smaller than inner duct diameter</t>
    </r>
  </si>
  <si>
    <r>
      <rPr>
        <sz val="9"/>
        <rFont val="Arial"/>
        <family val="2"/>
      </rPr>
      <t>2.4   Flexible ducts supported at intervals as recommended by mfr. but at a distance ≤ 5 ft.</t>
    </r>
  </si>
  <si>
    <r>
      <rPr>
        <sz val="9"/>
        <rFont val="Arial"/>
        <family val="2"/>
      </rPr>
      <t>2.5   Building cavities not used as supply or return ducts unless they meet Items 3.2, 3.3, 4.1, and 4.2 of this Checklist.</t>
    </r>
  </si>
  <si>
    <r>
      <rPr>
        <sz val="9"/>
        <rFont val="Arial"/>
        <family val="2"/>
      </rPr>
      <t>2.6 HVAC ducts, cavities used as ducts, and combustion inlets and outlets may pass perpendicularly through exterior walls but shall not be run within exterior walls unless at least R-6 continuous insulation is provided on exterior side of the cavity, along with an interior and exterior air barrier where required by the Thermal Enclosure System Rater Checklist.</t>
    </r>
  </si>
  <si>
    <r>
      <rPr>
        <sz val="9"/>
        <rFont val="Arial"/>
        <family val="2"/>
      </rPr>
      <t xml:space="preserve">2.7   Quantity &amp; location of supply and return duct terminals match contractor balancing report. </t>
    </r>
    <r>
      <rPr>
        <sz val="6"/>
        <rFont val="Arial"/>
        <family val="2"/>
      </rPr>
      <t>11</t>
    </r>
  </si>
  <si>
    <r>
      <rPr>
        <sz val="9"/>
        <rFont val="Arial"/>
        <family val="2"/>
      </rPr>
      <t>2.8   Bedrooms pressure-balanced using any combination of transfer grills, jump ducts, dedicated return ducts, and / or undercut doors to either: a) provide 1 sq. in. of free area opening per 1 CFM of supply air, as reported on the contractor-provided balancing report; or b) achieve a Rater-measured pressure differential ≤ 3 Pa with respect to the main body of the house when all bedroom doors are closed and all air handlers are operating.</t>
    </r>
    <r>
      <rPr>
        <sz val="6"/>
        <rFont val="Arial"/>
        <family val="2"/>
      </rPr>
      <t>11,14</t>
    </r>
  </si>
  <si>
    <r>
      <rPr>
        <b/>
        <sz val="9"/>
        <rFont val="Arial"/>
        <family val="2"/>
      </rPr>
      <t xml:space="preserve">3. Duct Insulation </t>
    </r>
    <r>
      <rPr>
        <i/>
        <sz val="9"/>
        <rFont val="Arial"/>
        <family val="2"/>
      </rPr>
      <t xml:space="preserve">- Applies to All Heating, Cooling, Supply Ventilation, and Pressure Balancing Ducts </t>
    </r>
    <r>
      <rPr>
        <i/>
        <sz val="6"/>
        <rFont val="Arial"/>
        <family val="2"/>
      </rPr>
      <t>15</t>
    </r>
  </si>
  <si>
    <r>
      <rPr>
        <sz val="9"/>
        <rFont val="Arial"/>
        <family val="2"/>
      </rPr>
      <t>3.1 All connections to trunk ducts in unconditioned space are insulated.</t>
    </r>
  </si>
  <si>
    <r>
      <rPr>
        <sz val="9"/>
        <rFont val="Arial"/>
        <family val="2"/>
      </rPr>
      <t xml:space="preserve">3.2 </t>
    </r>
    <r>
      <rPr>
        <i/>
        <sz val="9"/>
        <rFont val="Arial"/>
        <family val="2"/>
      </rPr>
      <t>Prescriptive Path</t>
    </r>
    <r>
      <rPr>
        <sz val="9"/>
        <rFont val="Arial"/>
        <family val="2"/>
      </rPr>
      <t xml:space="preserve">: Supply ducts in unconditioned attic have insulation ≥ R-8.
</t>
    </r>
    <r>
      <rPr>
        <i/>
        <sz val="9"/>
        <rFont val="Arial"/>
        <family val="2"/>
      </rPr>
      <t>Performance Path</t>
    </r>
    <r>
      <rPr>
        <sz val="9"/>
        <rFont val="Arial"/>
        <family val="2"/>
      </rPr>
      <t>: Supply ducts in unconditioned attic have insulation ≥ R-6.</t>
    </r>
  </si>
  <si>
    <r>
      <rPr>
        <sz val="9"/>
        <rFont val="Arial"/>
        <family val="2"/>
      </rPr>
      <t>3.3 All other supply ducts and all return ducts in unconditioned space have insulation ≥ R-6.</t>
    </r>
  </si>
  <si>
    <r>
      <rPr>
        <b/>
        <sz val="9"/>
        <rFont val="Arial"/>
        <family val="2"/>
      </rPr>
      <t xml:space="preserve">4. Duct Leakage </t>
    </r>
    <r>
      <rPr>
        <i/>
        <sz val="9"/>
        <rFont val="Arial"/>
        <family val="2"/>
      </rPr>
      <t>- Applies to All Heating, Cooling, and Balanced Ventilation Ducts</t>
    </r>
  </si>
  <si>
    <r>
      <rPr>
        <sz val="9"/>
        <rFont val="Arial"/>
        <family val="2"/>
      </rPr>
      <t xml:space="preserve">4.1 Total Rater-measured duct leakage meets one of the following two options: </t>
    </r>
    <r>
      <rPr>
        <sz val="6"/>
        <rFont val="Arial"/>
        <family val="2"/>
      </rPr>
      <t>16</t>
    </r>
  </si>
  <si>
    <r>
      <rPr>
        <sz val="9"/>
        <rFont val="Arial"/>
        <family val="2"/>
      </rPr>
      <t xml:space="preserve">4.1.1 </t>
    </r>
    <r>
      <rPr>
        <u/>
        <sz val="9"/>
        <rFont val="Arial"/>
        <family val="2"/>
      </rPr>
      <t>Rough-in</t>
    </r>
    <r>
      <rPr>
        <sz val="9"/>
        <rFont val="Arial"/>
        <family val="2"/>
      </rPr>
      <t xml:space="preserve">: ≤ 4 CFM25 per 100 sq. ft. of CFA with air handler and all ductwork, building cavities used as ductwork, &amp; duct boots installed. In addition, </t>
    </r>
    <r>
      <rPr>
        <u/>
        <sz val="9"/>
        <rFont val="Arial"/>
        <family val="2"/>
      </rPr>
      <t>al</t>
    </r>
    <r>
      <rPr>
        <sz val="9"/>
        <rFont val="Arial"/>
        <family val="2"/>
      </rPr>
      <t xml:space="preserve">l duct boots sealed to finished surface, Rater-verified at final. </t>
    </r>
    <r>
      <rPr>
        <sz val="6"/>
        <rFont val="Arial"/>
        <family val="2"/>
      </rPr>
      <t>17</t>
    </r>
  </si>
  <si>
    <t>x</t>
  </si>
  <si>
    <r>
      <rPr>
        <sz val="9"/>
        <rFont val="Arial"/>
        <family val="2"/>
      </rPr>
      <t xml:space="preserve">4.1.2 </t>
    </r>
    <r>
      <rPr>
        <u/>
        <sz val="9"/>
        <rFont val="Arial"/>
        <family val="2"/>
      </rPr>
      <t>Final</t>
    </r>
    <r>
      <rPr>
        <sz val="9"/>
        <rFont val="Arial"/>
        <family val="2"/>
      </rPr>
      <t xml:space="preserve">: ≤ 8 CFM25 per 100 sq. ft. of CFA with the air handler and all ductwork, building cavities used as ductwork, duct boots, &amp; register grilles atop the finished surface (e.g., drywall, flooring) installed. </t>
    </r>
    <r>
      <rPr>
        <sz val="6"/>
        <rFont val="Arial"/>
        <family val="2"/>
      </rPr>
      <t>18</t>
    </r>
  </si>
  <si>
    <r>
      <rPr>
        <sz val="9"/>
        <rFont val="Arial"/>
        <family val="2"/>
      </rPr>
      <t xml:space="preserve">4.2 Rater-measured duct leakage to outdoors ≤ 4 CFM25 per 100 sq. ft. of conditioned floor area. </t>
    </r>
    <r>
      <rPr>
        <sz val="6"/>
        <rFont val="Arial"/>
        <family val="2"/>
      </rPr>
      <t>16,19</t>
    </r>
  </si>
  <si>
    <r>
      <rPr>
        <b/>
        <sz val="9"/>
        <rFont val="Arial"/>
        <family val="2"/>
      </rPr>
      <t>5. Whole-Building Delivered Ventilation</t>
    </r>
  </si>
  <si>
    <r>
      <rPr>
        <sz val="9"/>
        <rFont val="Arial"/>
        <family val="2"/>
      </rPr>
      <t xml:space="preserve">5.1 Rater-measured ventilation rate is within 100-120% of HVAC contractor design value (2.11). </t>
    </r>
    <r>
      <rPr>
        <sz val="6"/>
        <rFont val="Arial"/>
        <family val="2"/>
      </rPr>
      <t>20</t>
    </r>
  </si>
  <si>
    <r>
      <rPr>
        <b/>
        <sz val="9"/>
        <rFont val="Arial"/>
        <family val="2"/>
      </rPr>
      <t>6. Controls</t>
    </r>
  </si>
  <si>
    <r>
      <rPr>
        <sz val="9"/>
        <rFont val="Arial"/>
        <family val="2"/>
      </rPr>
      <t>6.1 Air flow is produced when central HVAC fan is energized (set thermostat to “fan”).</t>
    </r>
  </si>
  <si>
    <r>
      <rPr>
        <sz val="9"/>
        <rFont val="Arial"/>
        <family val="2"/>
      </rPr>
      <t xml:space="preserve">6.2 Cool air flow is produced when the cooling cycle is energized (set thermostat to “cool”). </t>
    </r>
    <r>
      <rPr>
        <sz val="6"/>
        <rFont val="Arial"/>
        <family val="2"/>
      </rPr>
      <t>21,22</t>
    </r>
  </si>
  <si>
    <r>
      <rPr>
        <sz val="9"/>
        <rFont val="Arial"/>
        <family val="2"/>
      </rPr>
      <t xml:space="preserve">6.3 Heated air flow is produced when the heating cycle is energized (set thermostat to “heat”). </t>
    </r>
    <r>
      <rPr>
        <sz val="6"/>
        <rFont val="Arial"/>
        <family val="2"/>
      </rPr>
      <t>21</t>
    </r>
  </si>
  <si>
    <r>
      <rPr>
        <sz val="9"/>
        <rFont val="Arial"/>
        <family val="2"/>
      </rPr>
      <t>6.4 Continuously-operating ventilation &amp; exhaust fans include readily accessible override controls.</t>
    </r>
  </si>
  <si>
    <r>
      <rPr>
        <sz val="9"/>
        <rFont val="Arial"/>
        <family val="2"/>
      </rPr>
      <t>6.5 Function of ventilation controls is obvious (e.g., bathroom exhaust fan) or, if not, controls have been labeled.</t>
    </r>
  </si>
  <si>
    <r>
      <rPr>
        <b/>
        <sz val="9"/>
        <rFont val="Arial"/>
        <family val="2"/>
      </rPr>
      <t>7. Ventilation Air Inlets &amp; Ventilation Source</t>
    </r>
  </si>
  <si>
    <r>
      <rPr>
        <sz val="9"/>
        <rFont val="Arial"/>
        <family val="2"/>
      </rPr>
      <t xml:space="preserve">7.1 All ventilation air inlets located ≥10 ft. of stretched-string distance from known contamination sources such as stack, vent, exhaust hood, or vehicle exhaust. Exception: ventilation air inlets in the wall ≥ 3 ft. from dryer exhausts and contamination sources exiting through the roof. </t>
    </r>
    <r>
      <rPr>
        <sz val="6"/>
        <rFont val="Arial"/>
        <family val="2"/>
      </rPr>
      <t>23</t>
    </r>
  </si>
  <si>
    <r>
      <rPr>
        <sz val="9"/>
        <rFont val="Arial"/>
        <family val="2"/>
      </rPr>
      <t>7.2 Ventilation air inlets ≥ 2 ft. above grade or roof deck in Climate Zones 1-3 or ≥ 4 ft. above grade or roof deck in Climate Zones 4-8 and not obstructed by snow, plantings, condensing units or other material at time of inspection.</t>
    </r>
    <r>
      <rPr>
        <sz val="6"/>
        <rFont val="Arial"/>
        <family val="2"/>
      </rPr>
      <t>24</t>
    </r>
  </si>
  <si>
    <r>
      <rPr>
        <sz val="9"/>
        <rFont val="Arial"/>
        <family val="2"/>
      </rPr>
      <t xml:space="preserve">7.3 Ventilation air inlets provided with rodent / insect screen with ≤ 0.5 inch mesh. </t>
    </r>
    <r>
      <rPr>
        <sz val="6"/>
        <rFont val="Arial"/>
        <family val="2"/>
      </rPr>
      <t>25</t>
    </r>
  </si>
  <si>
    <r>
      <rPr>
        <sz val="9"/>
        <rFont val="Arial"/>
        <family val="2"/>
      </rPr>
      <t>7.4 Ventilation air comes directly from outdoors, not from adjacent dwelling units, garages, crawlspaces, or attics.</t>
    </r>
  </si>
  <si>
    <r>
      <rPr>
        <b/>
        <sz val="9"/>
        <rFont val="Arial"/>
        <family val="2"/>
      </rPr>
      <t>8. Local Mechanical Exhaust</t>
    </r>
  </si>
  <si>
    <r>
      <rPr>
        <sz val="9"/>
        <rFont val="Arial"/>
        <family val="2"/>
      </rPr>
      <t xml:space="preserve">In each kitchen and bathroom, a system shall be installed that exhausts directly to the outdoors and meets one of the following Rater- measured airflow standards: </t>
    </r>
    <r>
      <rPr>
        <sz val="6"/>
        <rFont val="Arial"/>
        <family val="2"/>
      </rPr>
      <t>20,26,27</t>
    </r>
  </si>
  <si>
    <r>
      <rPr>
        <b/>
        <sz val="9"/>
        <rFont val="Arial"/>
        <family val="2"/>
      </rPr>
      <t>Location</t>
    </r>
  </si>
  <si>
    <r>
      <rPr>
        <sz val="9"/>
        <rFont val="Arial"/>
        <family val="2"/>
      </rPr>
      <t>8.1 Kitchen</t>
    </r>
  </si>
  <si>
    <r>
      <rPr>
        <sz val="9"/>
        <rFont val="Arial"/>
        <family val="2"/>
      </rPr>
      <t>8.2 Bathroom</t>
    </r>
  </si>
  <si>
    <r>
      <rPr>
        <sz val="9"/>
        <rFont val="Arial"/>
        <family val="2"/>
      </rPr>
      <t>8.3 If fans share common exhaust duct, back-draft dampers installed.</t>
    </r>
  </si>
  <si>
    <r>
      <rPr>
        <sz val="9"/>
        <rFont val="Arial"/>
        <family val="2"/>
      </rPr>
      <t xml:space="preserve">8.4 Common exhaust duct not shared by fans in separate dwellings. </t>
    </r>
    <r>
      <rPr>
        <sz val="6"/>
        <rFont val="Arial"/>
        <family val="2"/>
      </rPr>
      <t>32</t>
    </r>
  </si>
  <si>
    <r>
      <rPr>
        <sz val="9"/>
        <rFont val="Arial"/>
        <family val="2"/>
      </rPr>
      <t>8.5 Clothes dryers vented directly to outdoors, except for ventless dryers equipped with a condensate drain.</t>
    </r>
  </si>
  <si>
    <r>
      <rPr>
        <b/>
        <sz val="9"/>
        <rFont val="Arial"/>
        <family val="2"/>
      </rPr>
      <t xml:space="preserve">9. Ventilation &amp; Exhaust Fan Ratings (Exemptions for Kitchen, HVAC, and Remote-Mounted Fans) </t>
    </r>
    <r>
      <rPr>
        <sz val="6"/>
        <rFont val="Arial"/>
        <family val="2"/>
      </rPr>
      <t>33</t>
    </r>
  </si>
  <si>
    <r>
      <rPr>
        <sz val="9"/>
        <rFont val="Arial"/>
        <family val="2"/>
      </rPr>
      <t>9.1 Intermittent supply and exhaust fans rated at ≤ 3 sones by mfr. when producing no less than the minimum airflow rate required by Section 8 of this Checklist, unless rated flow ≥ 400 CFM.</t>
    </r>
  </si>
  <si>
    <r>
      <rPr>
        <sz val="9"/>
        <rFont val="Arial"/>
        <family val="2"/>
      </rPr>
      <t>9.2 Continuous supply &amp; exhaust fans rated at ≤ 1 sone by mfr. when producing no less than the minimum airflow required by Section 8 of this Checklist.</t>
    </r>
  </si>
  <si>
    <r>
      <rPr>
        <sz val="9"/>
        <rFont val="Arial"/>
        <family val="2"/>
      </rPr>
      <t>9.3 Bathroom fans used as part of a whole-house mechanical ventilation system shall be ENERGY STAR certified; unless rated flow rate ≥ 500 CFM.</t>
    </r>
  </si>
  <si>
    <r>
      <rPr>
        <b/>
        <sz val="9"/>
        <rFont val="Arial"/>
        <family val="2"/>
      </rPr>
      <t>10. Combustion Appliances</t>
    </r>
  </si>
  <si>
    <r>
      <rPr>
        <sz val="9"/>
        <rFont val="Arial"/>
        <family val="2"/>
      </rPr>
      <t xml:space="preserve">10.1 Furnaces, boilers, and water heaters located within the home’s pressure boundary are mechanically drafted or direct-vented. As an exception, naturally drafted equipment is allowed in Climate Zones 1-3. For naturally drafted furnaces, boilers, and water heaters, the Rater has followed RESNET or BPI combustion safety test procedures and met the selected standard’s limits for depressurization, spillage, draft pressure, and CO concentration in ambient air, as well as a CO concentration in the flue of ≤ 25 ppm. </t>
    </r>
    <r>
      <rPr>
        <sz val="6"/>
        <rFont val="Arial"/>
        <family val="2"/>
      </rPr>
      <t>34,35,36</t>
    </r>
  </si>
  <si>
    <r>
      <rPr>
        <sz val="9"/>
        <rFont val="Arial"/>
        <family val="2"/>
      </rPr>
      <t xml:space="preserve">10.2 For fireplaces that are not mechanically drafted or direct-vented to outdoors, total net rated exhaust flow of the two largest exhaust fans (excluding summer cooling fans) is ≤ 15 CFM per 100 sq. ft. of occupiable space when at full capacity or the Rater has verified that the pressure differential is ≤ -5 Pa using BPI’s or RESNET’s worst-case depressurization test procedure. </t>
    </r>
    <r>
      <rPr>
        <sz val="6"/>
        <rFont val="Arial"/>
        <family val="2"/>
      </rPr>
      <t>26,36,37,38</t>
    </r>
  </si>
  <si>
    <r>
      <rPr>
        <sz val="9"/>
        <rFont val="Arial"/>
        <family val="2"/>
      </rPr>
      <t xml:space="preserve">10.3 If unvented combustion appliances other than cooking ranges or ovens are located inside the home’s pressure boundary, the Rater has operated the appliance for at least 10 minutes and verified that the ambient CO level does not exceed 35 ppm. </t>
    </r>
    <r>
      <rPr>
        <sz val="6"/>
        <rFont val="Arial"/>
        <family val="2"/>
      </rPr>
      <t>39</t>
    </r>
  </si>
  <si>
    <r>
      <rPr>
        <b/>
        <sz val="9"/>
        <rFont val="Arial"/>
        <family val="2"/>
      </rPr>
      <t>11. Filtration</t>
    </r>
  </si>
  <si>
    <r>
      <rPr>
        <sz val="9"/>
        <rFont val="Arial"/>
        <family val="2"/>
      </rPr>
      <t xml:space="preserve">11.1 At least one MERV 6 or higher filter installed in each ducted mechanical system. </t>
    </r>
    <r>
      <rPr>
        <sz val="6"/>
        <rFont val="Arial"/>
        <family val="2"/>
      </rPr>
      <t>40</t>
    </r>
  </si>
  <si>
    <r>
      <rPr>
        <sz val="9"/>
        <rFont val="Arial"/>
        <family val="2"/>
      </rPr>
      <t>11.2 All return air and mechanically supplied outdoor air pass through filter prior to conditioning.</t>
    </r>
  </si>
  <si>
    <r>
      <rPr>
        <sz val="9"/>
        <rFont val="Arial"/>
        <family val="2"/>
      </rPr>
      <t xml:space="preserve">11.3 Filter located and installed so as to facilitate access and regular service by the owner. </t>
    </r>
    <r>
      <rPr>
        <sz val="6"/>
        <rFont val="Arial"/>
        <family val="2"/>
      </rPr>
      <t>41</t>
    </r>
  </si>
  <si>
    <r>
      <rPr>
        <sz val="9"/>
        <rFont val="Arial"/>
        <family val="2"/>
      </rPr>
      <t xml:space="preserve">11.4 Filter access panel includes gasket or comparable sealing mechanism and fits snugly against the exposed edge of filter when closed to prevent bypass. </t>
    </r>
    <r>
      <rPr>
        <sz val="6"/>
        <rFont val="Arial"/>
        <family val="2"/>
      </rPr>
      <t>42</t>
    </r>
  </si>
  <si>
    <t>Date</t>
  </si>
  <si>
    <r>
      <rPr>
        <b/>
        <u/>
        <sz val="9"/>
        <rFont val="Arial"/>
        <family val="2"/>
      </rPr>
      <t>2.1</t>
    </r>
    <r>
      <rPr>
        <sz val="9"/>
        <rFont val="Arial"/>
        <family val="2"/>
      </rPr>
      <t xml:space="preserve">   No kinks or sharp bends. </t>
    </r>
    <r>
      <rPr>
        <vertAlign val="subscript"/>
        <sz val="9"/>
        <rFont val="Arial"/>
        <family val="2"/>
      </rPr>
      <t>12</t>
    </r>
  </si>
  <si>
    <r>
      <rPr>
        <b/>
        <u/>
        <sz val="9"/>
        <rFont val="Arial"/>
        <family val="2"/>
      </rPr>
      <t xml:space="preserve">2.2 </t>
    </r>
    <r>
      <rPr>
        <sz val="9"/>
        <rFont val="Arial"/>
        <family val="2"/>
      </rPr>
      <t xml:space="preserve">  No excessive coiled or looped flexible ductwork. </t>
    </r>
    <r>
      <rPr>
        <vertAlign val="subscript"/>
        <sz val="9"/>
        <rFont val="Arial"/>
        <family val="2"/>
      </rPr>
      <t>13</t>
    </r>
  </si>
  <si>
    <r>
      <rPr>
        <b/>
        <u/>
        <sz val="9"/>
        <rFont val="Arial"/>
        <family val="2"/>
      </rPr>
      <t xml:space="preserve">2.4 </t>
    </r>
    <r>
      <rPr>
        <sz val="9"/>
        <rFont val="Arial"/>
        <family val="2"/>
      </rPr>
      <t xml:space="preserve">  Flexible ducts supported at intervals ≤ 5 ft.</t>
    </r>
  </si>
  <si>
    <r>
      <rPr>
        <b/>
        <u/>
        <sz val="9"/>
        <rFont val="Arial"/>
        <family val="2"/>
      </rPr>
      <t>2.7</t>
    </r>
    <r>
      <rPr>
        <sz val="9"/>
        <rFont val="Arial"/>
        <family val="2"/>
      </rPr>
      <t xml:space="preserve">   Quantity/location of supplys/returns balancing report. </t>
    </r>
    <r>
      <rPr>
        <vertAlign val="subscript"/>
        <sz val="9"/>
        <rFont val="Arial"/>
        <family val="2"/>
      </rPr>
      <t>11</t>
    </r>
  </si>
  <si>
    <r>
      <rPr>
        <b/>
        <u/>
        <sz val="9"/>
        <rFont val="Arial"/>
        <family val="2"/>
      </rPr>
      <t>2.8</t>
    </r>
    <r>
      <rPr>
        <sz val="9"/>
        <rFont val="Arial"/>
        <family val="2"/>
      </rPr>
      <t xml:space="preserve">   Bedrooms pressure-balanced ≤ 3 Pa.11,14</t>
    </r>
  </si>
  <si>
    <r>
      <rPr>
        <b/>
        <sz val="9"/>
        <rFont val="Arial"/>
        <family val="2"/>
      </rPr>
      <t xml:space="preserve">3. Duct Insulation </t>
    </r>
    <r>
      <rPr>
        <i/>
        <sz val="9"/>
        <rFont val="Arial"/>
        <family val="2"/>
      </rPr>
      <t xml:space="preserve">- All Heating, Cooling, Supply Ventilation, and Pressure Balancing Ducts </t>
    </r>
    <r>
      <rPr>
        <i/>
        <sz val="6"/>
        <rFont val="Arial"/>
        <family val="2"/>
      </rPr>
      <t>15</t>
    </r>
  </si>
  <si>
    <r>
      <rPr>
        <b/>
        <u/>
        <sz val="9"/>
        <rFont val="Arial"/>
        <family val="2"/>
      </rPr>
      <t>3.1</t>
    </r>
    <r>
      <rPr>
        <sz val="9"/>
        <rFont val="Arial"/>
        <family val="2"/>
      </rPr>
      <t xml:space="preserve">  Connections to trunk ducts in unconditioned space insulated.</t>
    </r>
  </si>
  <si>
    <r>
      <rPr>
        <b/>
        <u/>
        <sz val="9"/>
        <rFont val="Arial"/>
        <family val="2"/>
      </rPr>
      <t>3.2</t>
    </r>
    <r>
      <rPr>
        <sz val="9"/>
        <rFont val="Arial"/>
        <family val="2"/>
      </rPr>
      <t xml:space="preserve">  </t>
    </r>
    <r>
      <rPr>
        <i/>
        <sz val="9"/>
        <rFont val="Arial"/>
        <family val="2"/>
      </rPr>
      <t>Prescriptive:</t>
    </r>
    <r>
      <rPr>
        <sz val="9"/>
        <rFont val="Arial"/>
        <family val="2"/>
      </rPr>
      <t xml:space="preserve"> Supply ducts in unconditioned attic ≥ R-8.
</t>
    </r>
    <r>
      <rPr>
        <i/>
        <sz val="9"/>
        <rFont val="Arial"/>
        <family val="2"/>
      </rPr>
      <t>Performance</t>
    </r>
    <r>
      <rPr>
        <sz val="9"/>
        <rFont val="Arial"/>
        <family val="2"/>
      </rPr>
      <t>: Supply ducts in unconditioned attic ≥ R-6.</t>
    </r>
  </si>
  <si>
    <r>
      <rPr>
        <b/>
        <u/>
        <sz val="9"/>
        <rFont val="Arial"/>
        <family val="2"/>
      </rPr>
      <t>3.3</t>
    </r>
    <r>
      <rPr>
        <sz val="9"/>
        <rFont val="Arial"/>
        <family val="2"/>
      </rPr>
      <t xml:space="preserve">  All other supply / return ducts in unconditioned space ≥ R-6.</t>
    </r>
  </si>
  <si>
    <r>
      <rPr>
        <b/>
        <u/>
        <sz val="9"/>
        <rFont val="Arial"/>
        <family val="2"/>
      </rPr>
      <t>6.1</t>
    </r>
    <r>
      <rPr>
        <sz val="9"/>
        <rFont val="Arial"/>
        <family val="2"/>
      </rPr>
      <t xml:space="preserve">  Air flow when thermostat set to “fan”.</t>
    </r>
  </si>
  <si>
    <r>
      <rPr>
        <b/>
        <u/>
        <sz val="9"/>
        <rFont val="Arial"/>
        <family val="2"/>
      </rPr>
      <t>6.2</t>
    </r>
    <r>
      <rPr>
        <sz val="9"/>
        <rFont val="Arial"/>
        <family val="2"/>
      </rPr>
      <t xml:space="preserve">  Cool air flow when thermostat set to “cool”.</t>
    </r>
    <r>
      <rPr>
        <vertAlign val="subscript"/>
        <sz val="9"/>
        <rFont val="Arial"/>
        <family val="2"/>
      </rPr>
      <t xml:space="preserve"> </t>
    </r>
    <r>
      <rPr>
        <sz val="6"/>
        <rFont val="Arial"/>
        <family val="2"/>
      </rPr>
      <t>21,22</t>
    </r>
  </si>
  <si>
    <r>
      <rPr>
        <b/>
        <u/>
        <sz val="9"/>
        <rFont val="Arial"/>
        <family val="2"/>
      </rPr>
      <t>6.3</t>
    </r>
    <r>
      <rPr>
        <sz val="9"/>
        <rFont val="Arial"/>
        <family val="2"/>
      </rPr>
      <t xml:space="preserve">  Heated air flow when thermostat set to “heat”. </t>
    </r>
    <r>
      <rPr>
        <sz val="6"/>
        <rFont val="Arial"/>
        <family val="2"/>
      </rPr>
      <t>21</t>
    </r>
  </si>
  <si>
    <r>
      <rPr>
        <b/>
        <u/>
        <sz val="9"/>
        <rFont val="Arial"/>
        <family val="2"/>
      </rPr>
      <t>6.4</t>
    </r>
    <r>
      <rPr>
        <sz val="9"/>
        <rFont val="Arial"/>
        <family val="2"/>
      </rPr>
      <t xml:space="preserve">  Continuously-operating ventilation &amp; exhaust fans have accessible override controls.</t>
    </r>
  </si>
  <si>
    <r>
      <rPr>
        <b/>
        <u/>
        <sz val="9"/>
        <rFont val="Arial"/>
        <family val="2"/>
      </rPr>
      <t>6.5</t>
    </r>
    <r>
      <rPr>
        <sz val="9"/>
        <rFont val="Arial"/>
        <family val="2"/>
      </rPr>
      <t xml:space="preserve">  Ventilation controls is obvious or, if not, controls labeled.</t>
    </r>
  </si>
  <si>
    <r>
      <rPr>
        <b/>
        <u/>
        <sz val="9"/>
        <rFont val="Arial"/>
        <family val="2"/>
      </rPr>
      <t>7.2</t>
    </r>
    <r>
      <rPr>
        <sz val="9"/>
        <rFont val="Arial"/>
        <family val="2"/>
      </rPr>
      <t xml:space="preserve">  Vent. inlets ≥ 2 ft. above grade or roof deck in CZ's 1-3 or ≥ 4 ft. above grade or roof deck in CZ's 4-8 and not obstructed by snow, plantings, condensing units or other material at time of inspection.</t>
    </r>
    <r>
      <rPr>
        <vertAlign val="subscript"/>
        <sz val="9"/>
        <rFont val="Arial"/>
        <family val="2"/>
      </rPr>
      <t>24</t>
    </r>
  </si>
  <si>
    <r>
      <rPr>
        <b/>
        <u/>
        <sz val="9"/>
        <rFont val="Arial"/>
        <family val="2"/>
      </rPr>
      <t>7.3</t>
    </r>
    <r>
      <rPr>
        <sz val="9"/>
        <rFont val="Arial"/>
        <family val="2"/>
      </rPr>
      <t xml:space="preserve"> Vent. inlets has rodent / insect screen with ≤ 0.5 inch mesh. </t>
    </r>
    <r>
      <rPr>
        <vertAlign val="subscript"/>
        <sz val="9"/>
        <rFont val="Arial"/>
        <family val="2"/>
      </rPr>
      <t>25</t>
    </r>
  </si>
  <si>
    <r>
      <rPr>
        <b/>
        <u/>
        <sz val="9"/>
        <rFont val="Arial"/>
        <family val="2"/>
      </rPr>
      <t>7.4</t>
    </r>
    <r>
      <rPr>
        <sz val="9"/>
        <rFont val="Arial"/>
        <family val="2"/>
      </rPr>
      <t xml:space="preserve">  Ventilation air comes directly from outdoors, not from adjacent dwelling units, garages, crawlspaces, or attics.</t>
    </r>
  </si>
  <si>
    <r>
      <rPr>
        <sz val="9"/>
        <rFont val="Arial"/>
        <family val="2"/>
      </rPr>
      <t xml:space="preserve">In each kitchen and bathroom, a system shall be installed that exhausts directly to the outdoors and meets one of the following Rater- measured airflow standards: </t>
    </r>
    <r>
      <rPr>
        <vertAlign val="subscript"/>
        <sz val="9"/>
        <rFont val="Arial"/>
        <family val="2"/>
      </rPr>
      <t>20,26,27</t>
    </r>
  </si>
  <si>
    <r>
      <rPr>
        <b/>
        <u/>
        <sz val="9"/>
        <rFont val="Arial"/>
        <family val="2"/>
      </rPr>
      <t>8.1</t>
    </r>
    <r>
      <rPr>
        <sz val="9"/>
        <rFont val="Arial"/>
        <family val="2"/>
      </rPr>
      <t xml:space="preserve"> Kitchen</t>
    </r>
  </si>
  <si>
    <r>
      <rPr>
        <b/>
        <u/>
        <sz val="9"/>
        <rFont val="Arial"/>
        <family val="2"/>
      </rPr>
      <t>8.2</t>
    </r>
    <r>
      <rPr>
        <sz val="9"/>
        <rFont val="Arial"/>
        <family val="2"/>
      </rPr>
      <t xml:space="preserve"> Bathroom</t>
    </r>
  </si>
  <si>
    <r>
      <rPr>
        <b/>
        <u/>
        <sz val="9"/>
        <rFont val="Arial"/>
        <family val="2"/>
      </rPr>
      <t>8.3</t>
    </r>
    <r>
      <rPr>
        <sz val="9"/>
        <rFont val="Arial"/>
        <family val="2"/>
      </rPr>
      <t xml:space="preserve"> If fans share common exh. duct, back-draft dampers installed.</t>
    </r>
  </si>
  <si>
    <r>
      <rPr>
        <b/>
        <u/>
        <sz val="9"/>
        <rFont val="Arial"/>
        <family val="2"/>
      </rPr>
      <t>8.4</t>
    </r>
    <r>
      <rPr>
        <sz val="9"/>
        <rFont val="Arial"/>
        <family val="2"/>
      </rPr>
      <t xml:space="preserve"> Common exh. duct not shared by fans in separate dwellings. </t>
    </r>
    <r>
      <rPr>
        <sz val="6"/>
        <rFont val="Arial"/>
        <family val="2"/>
      </rPr>
      <t>32</t>
    </r>
  </si>
  <si>
    <r>
      <rPr>
        <b/>
        <u/>
        <sz val="9"/>
        <rFont val="Arial"/>
        <family val="2"/>
      </rPr>
      <t>8.5</t>
    </r>
    <r>
      <rPr>
        <sz val="9"/>
        <rFont val="Arial"/>
        <family val="2"/>
      </rPr>
      <t xml:space="preserve"> Clothes dryers vented directly to outdoors, except for ventless dryers equipped with a condensate drain.</t>
    </r>
  </si>
  <si>
    <r>
      <rPr>
        <b/>
        <sz val="9"/>
        <rFont val="Arial"/>
        <family val="2"/>
      </rPr>
      <t xml:space="preserve">9. Vent. &amp; Exhaust Fan Ratings (Except Kitchen, HVAC, and Remote-Mounted Fans) </t>
    </r>
    <r>
      <rPr>
        <sz val="6"/>
        <rFont val="Arial"/>
        <family val="2"/>
      </rPr>
      <t>33</t>
    </r>
  </si>
  <si>
    <r>
      <rPr>
        <b/>
        <u/>
        <sz val="9"/>
        <rFont val="Arial"/>
        <family val="2"/>
      </rPr>
      <t>9.1</t>
    </r>
    <r>
      <rPr>
        <sz val="9"/>
        <rFont val="Arial"/>
        <family val="2"/>
      </rPr>
      <t xml:space="preserve">  Intermittent supply and exhaust fans rated at ≤ 3 sones.</t>
    </r>
  </si>
  <si>
    <r>
      <rPr>
        <b/>
        <u/>
        <sz val="9"/>
        <rFont val="Arial"/>
        <family val="2"/>
      </rPr>
      <t>9.2</t>
    </r>
    <r>
      <rPr>
        <sz val="9"/>
        <rFont val="Arial"/>
        <family val="2"/>
      </rPr>
      <t xml:space="preserve">  Continuous supply &amp; exhaust fans rated at ≤ 1 sone.</t>
    </r>
  </si>
  <si>
    <r>
      <rPr>
        <b/>
        <u/>
        <sz val="9"/>
        <rFont val="Arial"/>
        <family val="2"/>
      </rPr>
      <t>9.3</t>
    </r>
    <r>
      <rPr>
        <sz val="9"/>
        <rFont val="Arial"/>
        <family val="2"/>
      </rPr>
      <t xml:space="preserve">  Bathroom fans used as part of a whole-house mechanical ventilation system shall be ENERGY STAR certified; unless rated flow rate ≥ 500 CFM.</t>
    </r>
  </si>
  <si>
    <r>
      <rPr>
        <b/>
        <u/>
        <sz val="9"/>
        <rFont val="Arial"/>
        <family val="2"/>
      </rPr>
      <t>10.2</t>
    </r>
    <r>
      <rPr>
        <sz val="9"/>
        <rFont val="Arial"/>
        <family val="2"/>
      </rPr>
      <t xml:space="preserve"> For fireplaces that are not mechanically drafted or direct-vented to outdoors, total net rated exhaust flow of the two largest exhaust fans (excluding summer cooling fans) is ≤ 15 CFM per 100 sq. ft. of occupiable space when at full capacity or the Rater has verified that the pressure differential is ≤ -5 Pa using BPI’s or RESNET’s worst-case depressurization test procedure. </t>
    </r>
    <r>
      <rPr>
        <vertAlign val="subscript"/>
        <sz val="9"/>
        <rFont val="Arial"/>
        <family val="2"/>
      </rPr>
      <t>26,36,37,38</t>
    </r>
  </si>
  <si>
    <r>
      <rPr>
        <b/>
        <u/>
        <sz val="9"/>
        <rFont val="Arial"/>
        <family val="2"/>
      </rPr>
      <t>10.3</t>
    </r>
    <r>
      <rPr>
        <sz val="9"/>
        <rFont val="Arial"/>
        <family val="2"/>
      </rPr>
      <t xml:space="preserve">  If unvented combustion appliances other than cooking ranges   or ovens are located inside the home’s pressure boundary, the    Rater has operated the appliance for at least 10 minutes and     verified that the ambient CO level does not exceed 35 ppm. </t>
    </r>
    <r>
      <rPr>
        <vertAlign val="subscript"/>
        <sz val="9"/>
        <rFont val="Arial"/>
        <family val="2"/>
      </rPr>
      <t>39</t>
    </r>
  </si>
  <si>
    <r>
      <rPr>
        <b/>
        <u/>
        <sz val="9"/>
        <rFont val="Arial"/>
        <family val="2"/>
      </rPr>
      <t>11.1</t>
    </r>
    <r>
      <rPr>
        <sz val="9"/>
        <rFont val="Arial"/>
        <family val="2"/>
      </rPr>
      <t xml:space="preserve">  MERV 6 or higher filter installed in each system. </t>
    </r>
    <r>
      <rPr>
        <sz val="6"/>
        <rFont val="Arial"/>
        <family val="2"/>
      </rPr>
      <t>40</t>
    </r>
  </si>
  <si>
    <r>
      <rPr>
        <b/>
        <u/>
        <sz val="9"/>
        <rFont val="Arial"/>
        <family val="2"/>
      </rPr>
      <t>11.2</t>
    </r>
    <r>
      <rPr>
        <sz val="9"/>
        <rFont val="Arial"/>
        <family val="2"/>
      </rPr>
      <t xml:space="preserve">  All return air &amp; outdoor air pass through filter prior to conditioning.</t>
    </r>
  </si>
  <si>
    <r>
      <rPr>
        <b/>
        <u/>
        <sz val="9"/>
        <rFont val="Arial"/>
        <family val="2"/>
      </rPr>
      <t>11.3</t>
    </r>
    <r>
      <rPr>
        <sz val="9"/>
        <rFont val="Arial"/>
        <family val="2"/>
      </rPr>
      <t xml:space="preserve">  Filter easy to access and service by the owner. </t>
    </r>
    <r>
      <rPr>
        <sz val="6"/>
        <rFont val="Arial"/>
        <family val="2"/>
      </rPr>
      <t>41</t>
    </r>
  </si>
  <si>
    <r>
      <rPr>
        <b/>
        <u/>
        <sz val="9"/>
        <rFont val="Arial"/>
        <family val="2"/>
      </rPr>
      <t>11.4</t>
    </r>
    <r>
      <rPr>
        <sz val="9"/>
        <rFont val="Arial"/>
        <family val="2"/>
      </rPr>
      <t xml:space="preserve">  Filter access panel includes gasket or comparable sealing mechanism and fits snugly against the exposed edge of filter when closed to prevent bypass. </t>
    </r>
    <r>
      <rPr>
        <sz val="6"/>
        <rFont val="Arial"/>
        <family val="2"/>
      </rPr>
      <t>42</t>
    </r>
  </si>
  <si>
    <r>
      <rPr>
        <b/>
        <u/>
        <sz val="9"/>
        <rFont val="Arial"/>
        <family val="2"/>
      </rPr>
      <t>7.1</t>
    </r>
    <r>
      <rPr>
        <b/>
        <sz val="9"/>
        <rFont val="Arial"/>
        <family val="2"/>
      </rPr>
      <t xml:space="preserve">  </t>
    </r>
    <r>
      <rPr>
        <sz val="9"/>
        <rFont val="Arial"/>
        <family val="2"/>
      </rPr>
      <t xml:space="preserve">Vent. inlets located ≥10 ft. contamination sources. Exception: vent. inlets in the wall ≥ 3 ft. from dryer exhausts and contamination sources exiting through the roof. </t>
    </r>
    <r>
      <rPr>
        <vertAlign val="subscript"/>
        <sz val="9"/>
        <rFont val="Arial"/>
        <family val="2"/>
      </rPr>
      <t>23</t>
    </r>
  </si>
  <si>
    <r>
      <rPr>
        <b/>
        <sz val="9"/>
        <rFont val="Arial"/>
        <family val="2"/>
      </rPr>
      <t>1. High-Performance Fenestration</t>
    </r>
  </si>
  <si>
    <r>
      <rPr>
        <b/>
        <sz val="8"/>
        <rFont val="Arial"/>
        <family val="2"/>
      </rPr>
      <t xml:space="preserve">Builder Verified </t>
    </r>
    <r>
      <rPr>
        <b/>
        <sz val="5"/>
        <rFont val="Arial"/>
        <family val="2"/>
      </rPr>
      <t>1</t>
    </r>
  </si>
  <si>
    <r>
      <rPr>
        <sz val="9"/>
        <rFont val="Arial"/>
        <family val="2"/>
      </rPr>
      <t xml:space="preserve">1.1 </t>
    </r>
    <r>
      <rPr>
        <i/>
        <sz val="9"/>
        <rFont val="Arial"/>
        <family val="2"/>
      </rPr>
      <t xml:space="preserve">Prescriptive Path: </t>
    </r>
    <r>
      <rPr>
        <sz val="9"/>
        <rFont val="Arial"/>
        <family val="2"/>
      </rPr>
      <t xml:space="preserve">Fenestration shall meet or exceed ENERGY STAR requirements </t>
    </r>
    <r>
      <rPr>
        <sz val="6"/>
        <rFont val="Arial"/>
        <family val="2"/>
      </rPr>
      <t>2</t>
    </r>
  </si>
  <si>
    <r>
      <rPr>
        <sz val="9"/>
        <rFont val="Arial"/>
        <family val="2"/>
      </rPr>
      <t xml:space="preserve">1.2 </t>
    </r>
    <r>
      <rPr>
        <i/>
        <sz val="9"/>
        <rFont val="Arial"/>
        <family val="2"/>
      </rPr>
      <t>Performance Path</t>
    </r>
    <r>
      <rPr>
        <sz val="9"/>
        <rFont val="Arial"/>
        <family val="2"/>
      </rPr>
      <t xml:space="preserve">: Fenestration shall meet or exceed 2009 IECC requirements </t>
    </r>
    <r>
      <rPr>
        <sz val="6"/>
        <rFont val="Arial"/>
        <family val="2"/>
      </rPr>
      <t>2</t>
    </r>
  </si>
  <si>
    <r>
      <rPr>
        <b/>
        <sz val="9"/>
        <rFont val="Arial"/>
        <family val="2"/>
      </rPr>
      <t>2. Quality-Installed Insulation</t>
    </r>
  </si>
  <si>
    <r>
      <rPr>
        <sz val="9"/>
        <rFont val="Arial"/>
        <family val="2"/>
      </rPr>
      <t>2.1  Ceiling, wall, floor, and slab insulation levels shall comply with one of the following options:</t>
    </r>
  </si>
  <si>
    <r>
      <rPr>
        <sz val="9"/>
        <rFont val="Arial"/>
        <family val="2"/>
      </rPr>
      <t xml:space="preserve">2.1.1 Meet or exceed 2009 IECC levels </t>
    </r>
    <r>
      <rPr>
        <sz val="6"/>
        <rFont val="Arial"/>
        <family val="2"/>
      </rPr>
      <t xml:space="preserve">3,4,5 </t>
    </r>
    <r>
      <rPr>
        <b/>
        <sz val="9"/>
        <rFont val="Arial"/>
        <family val="2"/>
      </rPr>
      <t>OR</t>
    </r>
    <r>
      <rPr>
        <sz val="9"/>
        <rFont val="Arial"/>
        <family val="2"/>
      </rPr>
      <t>;</t>
    </r>
  </si>
  <si>
    <r>
      <rPr>
        <sz val="9"/>
        <rFont val="Arial"/>
        <family val="2"/>
      </rPr>
      <t xml:space="preserve">2.1.2 Achieve ≤ 133% of the total UA resulting from the U-factors in 2009 IECC Table 402.1.3, excluding fenestration and per guidance in Footnote 3d, AND home shall achieve ≤ 50% of the infiltration rate in Exhibit 1 of the National Program Requirements </t>
    </r>
    <r>
      <rPr>
        <sz val="6"/>
        <rFont val="Arial"/>
        <family val="2"/>
      </rPr>
      <t>4,5</t>
    </r>
  </si>
  <si>
    <r>
      <rPr>
        <sz val="9"/>
        <rFont val="Arial"/>
        <family val="2"/>
      </rPr>
      <t>2.2  All ceiling, wall, floor, and slab insulation shall achieve RESNET-defined Grade I installation or, alternatively, Grade II for surfaces  that contain a layer of continuous, air impermeable insulation ≥ R-3 in Climate Zones 1 to 4, ≥ R-5 in Climate Zones 5 to 8</t>
    </r>
  </si>
  <si>
    <r>
      <rPr>
        <b/>
        <sz val="9"/>
        <rFont val="Arial"/>
        <family val="2"/>
      </rPr>
      <t xml:space="preserve">3. Fully-Aligned Air Barriers </t>
    </r>
    <r>
      <rPr>
        <sz val="6"/>
        <rFont val="Arial"/>
        <family val="2"/>
      </rPr>
      <t>6</t>
    </r>
  </si>
  <si>
    <r>
      <rPr>
        <sz val="9"/>
        <rFont val="Arial"/>
        <family val="2"/>
      </rPr>
      <t xml:space="preserve">At each insulated location noted below, a complete air barrier shall be provided that is fully aligned with the insulation as follows:
</t>
    </r>
    <r>
      <rPr>
        <sz val="9"/>
        <rFont val="Arial"/>
        <family val="2"/>
      </rPr>
      <t xml:space="preserve">• At interior or exterior surface of ceilings in Climate Zones 1-3; at interior surface of ceilings in Climate Zones 4-8. Also, include barrier at interior edge of attic eave in all climate zones using a wind baffle that extends to the full height of the insulation. Include a baffle in every bay or a tabbed baffle in each bay with a soffit vent that will also prevent wind washing of insulation in adjacent bays
</t>
    </r>
    <r>
      <rPr>
        <sz val="9"/>
        <rFont val="Arial"/>
        <family val="2"/>
      </rPr>
      <t xml:space="preserve">• At exterior surface of walls in all climate zones; and also at interior surface of walls for Climate Zones 4-8 </t>
    </r>
    <r>
      <rPr>
        <sz val="6"/>
        <rFont val="Arial"/>
        <family val="2"/>
      </rPr>
      <t xml:space="preserve">7
</t>
    </r>
    <r>
      <rPr>
        <sz val="9"/>
        <rFont val="Arial"/>
        <family val="2"/>
      </rPr>
      <t xml:space="preserve">• At interior surface of floors in all climate zones, including supports to ensure permanent contact and blocking at exposed edge </t>
    </r>
    <r>
      <rPr>
        <sz val="6"/>
        <rFont val="Arial"/>
        <family val="2"/>
      </rPr>
      <t>8,9</t>
    </r>
  </si>
  <si>
    <r>
      <rPr>
        <sz val="9"/>
        <rFont val="Arial"/>
        <family val="2"/>
      </rPr>
      <t xml:space="preserve">3.1 Walls </t>
    </r>
    <r>
      <rPr>
        <sz val="6"/>
        <rFont val="Arial"/>
        <family val="2"/>
      </rPr>
      <t>10</t>
    </r>
  </si>
  <si>
    <r>
      <rPr>
        <sz val="9"/>
        <rFont val="Arial"/>
        <family val="2"/>
      </rPr>
      <t>3.1.1  Walls behind showers and tubs</t>
    </r>
  </si>
  <si>
    <r>
      <rPr>
        <sz val="9"/>
        <rFont val="Arial"/>
        <family val="2"/>
      </rPr>
      <t>3.1.2  Walls behind fireplaces</t>
    </r>
  </si>
  <si>
    <r>
      <rPr>
        <sz val="9"/>
        <rFont val="Arial"/>
        <family val="2"/>
      </rPr>
      <t xml:space="preserve">3.1.3   Attic knee walls </t>
    </r>
    <r>
      <rPr>
        <sz val="6"/>
        <rFont val="Arial"/>
        <family val="2"/>
      </rPr>
      <t>11</t>
    </r>
  </si>
  <si>
    <r>
      <rPr>
        <sz val="9"/>
        <rFont val="Arial"/>
        <family val="2"/>
      </rPr>
      <t>3.1.4   Skylight shaft walls</t>
    </r>
  </si>
  <si>
    <r>
      <rPr>
        <sz val="9"/>
        <rFont val="Arial"/>
        <family val="2"/>
      </rPr>
      <t>3.1.5  Wall adjoining porch roof</t>
    </r>
  </si>
  <si>
    <r>
      <rPr>
        <sz val="9"/>
        <rFont val="Arial"/>
        <family val="2"/>
      </rPr>
      <t>3.1.6   Staircase walls</t>
    </r>
  </si>
  <si>
    <r>
      <rPr>
        <sz val="9"/>
        <rFont val="Arial"/>
        <family val="2"/>
      </rPr>
      <t>3.1.7   Double walls</t>
    </r>
  </si>
  <si>
    <r>
      <rPr>
        <sz val="9"/>
        <rFont val="Arial"/>
        <family val="2"/>
      </rPr>
      <t>3.1.8   Garage rim / band joist adjoining conditioned space</t>
    </r>
  </si>
  <si>
    <r>
      <rPr>
        <sz val="9"/>
        <rFont val="Arial"/>
        <family val="2"/>
      </rPr>
      <t>3.1.9   All other exterior walls</t>
    </r>
  </si>
  <si>
    <r>
      <rPr>
        <sz val="9"/>
        <rFont val="Arial"/>
        <family val="2"/>
      </rPr>
      <t>3.2 Floors</t>
    </r>
  </si>
  <si>
    <r>
      <rPr>
        <sz val="9"/>
        <rFont val="Arial"/>
        <family val="2"/>
      </rPr>
      <t>3.2.1 Floor above garage</t>
    </r>
  </si>
  <si>
    <r>
      <rPr>
        <sz val="9"/>
        <rFont val="Arial"/>
        <family val="2"/>
      </rPr>
      <t>3.2.2 Cantilevered floor</t>
    </r>
  </si>
  <si>
    <r>
      <rPr>
        <sz val="9"/>
        <rFont val="Arial"/>
        <family val="2"/>
      </rPr>
      <t>3.2.3 Floor above unconditioned basement or unconditioned crawlspace</t>
    </r>
  </si>
  <si>
    <r>
      <rPr>
        <sz val="9"/>
        <rFont val="Arial"/>
        <family val="2"/>
      </rPr>
      <t xml:space="preserve">3.3  Ceilings </t>
    </r>
    <r>
      <rPr>
        <sz val="6"/>
        <rFont val="Arial"/>
        <family val="2"/>
      </rPr>
      <t>10</t>
    </r>
  </si>
  <si>
    <r>
      <rPr>
        <sz val="9"/>
        <rFont val="Arial"/>
        <family val="2"/>
      </rPr>
      <t>3.3.1 Dropped ceiling / soffit below unconditioned attic</t>
    </r>
  </si>
  <si>
    <r>
      <rPr>
        <sz val="9"/>
        <rFont val="Arial"/>
        <family val="2"/>
      </rPr>
      <t>3.3.2 All other ceilings</t>
    </r>
  </si>
  <si>
    <r>
      <rPr>
        <b/>
        <sz val="9"/>
        <rFont val="Arial"/>
        <family val="2"/>
      </rPr>
      <t>4. Reduced Thermal Bridging</t>
    </r>
  </si>
  <si>
    <r>
      <rPr>
        <sz val="9"/>
        <rFont val="Arial"/>
        <family val="2"/>
      </rPr>
      <t xml:space="preserve">4.1 For insulated ceilings with attic space above (i.e., non-cathedralized), Grade I insulation extends to the inside face of the exterior wall below at these levels: CZ 1-5: ≥ R-21; CZ 6-8: ≥ R-30 </t>
    </r>
    <r>
      <rPr>
        <sz val="6"/>
        <rFont val="Arial"/>
        <family val="2"/>
      </rPr>
      <t>12</t>
    </r>
  </si>
  <si>
    <r>
      <rPr>
        <sz val="9"/>
        <rFont val="Arial"/>
        <family val="2"/>
      </rPr>
      <t xml:space="preserve">4.2 For slabs on grade in CZ 4 and higher, 100% of slab edge insulated to ≥ R-5 at the depth specified by the 2009 IECC and aligned with thermal boundary of the walls </t>
    </r>
    <r>
      <rPr>
        <sz val="6"/>
        <rFont val="Arial"/>
        <family val="2"/>
      </rPr>
      <t>4,5</t>
    </r>
  </si>
  <si>
    <r>
      <rPr>
        <sz val="9"/>
        <rFont val="Arial"/>
        <family val="2"/>
      </rPr>
      <t>4.3  Insulation beneath attic platforms (e.g., HVAC platforms, walkways) ≥ R-21 in CZ 1-5; ≥ R-30 in CZ 6-8</t>
    </r>
  </si>
  <si>
    <r>
      <rPr>
        <sz val="9"/>
        <rFont val="Arial"/>
        <family val="2"/>
      </rPr>
      <t xml:space="preserve">4.4 Reduced thermal bridging at above-grade walls separating conditioned from unconditioned space (rim / band joists exempted) using one of the following options: </t>
    </r>
    <r>
      <rPr>
        <sz val="6"/>
        <rFont val="Arial"/>
        <family val="2"/>
      </rPr>
      <t>13</t>
    </r>
  </si>
  <si>
    <r>
      <rPr>
        <sz val="9"/>
        <rFont val="Arial"/>
        <family val="2"/>
      </rPr>
      <t xml:space="preserve">4.4.1 Continuous rigid insulation, insulated siding, or combination of the two;
</t>
    </r>
    <r>
      <rPr>
        <sz val="9"/>
        <rFont val="Arial"/>
        <family val="2"/>
      </rPr>
      <t xml:space="preserve">≥ R-3 in Climate Zones 1 to 4, ≥ R-5 in Climate Zones 5 to 8 </t>
    </r>
    <r>
      <rPr>
        <sz val="6"/>
        <rFont val="Arial"/>
        <family val="2"/>
      </rPr>
      <t>14,15,16</t>
    </r>
    <r>
      <rPr>
        <sz val="9"/>
        <rFont val="Arial"/>
        <family val="2"/>
      </rPr>
      <t xml:space="preserve">, </t>
    </r>
    <r>
      <rPr>
        <b/>
        <sz val="9"/>
        <rFont val="Arial"/>
        <family val="2"/>
      </rPr>
      <t>OR</t>
    </r>
    <r>
      <rPr>
        <sz val="9"/>
        <rFont val="Arial"/>
        <family val="2"/>
      </rPr>
      <t>;</t>
    </r>
  </si>
  <si>
    <r>
      <rPr>
        <sz val="9"/>
        <rFont val="Arial"/>
        <family val="2"/>
      </rPr>
      <t xml:space="preserve">4.4.2 Structural Insulated Panels (SIPs) </t>
    </r>
    <r>
      <rPr>
        <sz val="6"/>
        <rFont val="Arial"/>
        <family val="2"/>
      </rPr>
      <t>14</t>
    </r>
    <r>
      <rPr>
        <sz val="9"/>
        <rFont val="Arial"/>
        <family val="2"/>
      </rPr>
      <t xml:space="preserve">, </t>
    </r>
    <r>
      <rPr>
        <b/>
        <sz val="9"/>
        <rFont val="Arial"/>
        <family val="2"/>
      </rPr>
      <t>OR</t>
    </r>
    <r>
      <rPr>
        <sz val="9"/>
        <rFont val="Arial"/>
        <family val="2"/>
      </rPr>
      <t>;</t>
    </r>
  </si>
  <si>
    <r>
      <rPr>
        <sz val="9"/>
        <rFont val="Arial"/>
        <family val="2"/>
      </rPr>
      <t xml:space="preserve">4.4.3 Insulated Concrete Forms (ICFs) </t>
    </r>
    <r>
      <rPr>
        <sz val="6"/>
        <rFont val="Arial"/>
        <family val="2"/>
      </rPr>
      <t>14</t>
    </r>
    <r>
      <rPr>
        <sz val="9"/>
        <rFont val="Arial"/>
        <family val="2"/>
      </rPr>
      <t xml:space="preserve">, </t>
    </r>
    <r>
      <rPr>
        <b/>
        <sz val="9"/>
        <rFont val="Arial"/>
        <family val="2"/>
      </rPr>
      <t>OR</t>
    </r>
    <r>
      <rPr>
        <sz val="9"/>
        <rFont val="Arial"/>
        <family val="2"/>
      </rPr>
      <t>;</t>
    </r>
  </si>
  <si>
    <r>
      <rPr>
        <sz val="9"/>
        <rFont val="Arial"/>
        <family val="2"/>
      </rPr>
      <t xml:space="preserve">4.4.4 Double-wall framing </t>
    </r>
    <r>
      <rPr>
        <sz val="6"/>
        <rFont val="Arial"/>
        <family val="2"/>
      </rPr>
      <t>14,17</t>
    </r>
    <r>
      <rPr>
        <sz val="9"/>
        <rFont val="Arial"/>
        <family val="2"/>
      </rPr>
      <t xml:space="preserve">, </t>
    </r>
    <r>
      <rPr>
        <b/>
        <sz val="9"/>
        <rFont val="Arial"/>
        <family val="2"/>
      </rPr>
      <t>OR</t>
    </r>
    <r>
      <rPr>
        <sz val="9"/>
        <rFont val="Arial"/>
        <family val="2"/>
      </rPr>
      <t>;</t>
    </r>
  </si>
  <si>
    <r>
      <rPr>
        <sz val="9"/>
        <rFont val="Arial"/>
        <family val="2"/>
      </rPr>
      <t>4.4.5 Advanced framing, including all of the items below:</t>
    </r>
  </si>
  <si>
    <r>
      <rPr>
        <sz val="9"/>
        <rFont val="Arial"/>
        <family val="2"/>
      </rPr>
      <t xml:space="preserve">4.4.5a All corners insulated ≥ R-6 to edge </t>
    </r>
    <r>
      <rPr>
        <sz val="6"/>
        <rFont val="Arial"/>
        <family val="2"/>
      </rPr>
      <t>18</t>
    </r>
    <r>
      <rPr>
        <sz val="9"/>
        <rFont val="Arial"/>
        <family val="2"/>
      </rPr>
      <t xml:space="preserve">, </t>
    </r>
    <r>
      <rPr>
        <b/>
        <sz val="9"/>
        <rFont val="Arial"/>
        <family val="2"/>
      </rPr>
      <t>AND</t>
    </r>
    <r>
      <rPr>
        <sz val="9"/>
        <rFont val="Arial"/>
        <family val="2"/>
      </rPr>
      <t>;</t>
    </r>
  </si>
  <si>
    <r>
      <rPr>
        <sz val="9"/>
        <rFont val="Arial"/>
        <family val="2"/>
      </rPr>
      <t xml:space="preserve">4.4.5b All headers above windows &amp; doors insulated ≥ R-3 for 2x4 framing or equivalent cavity width, and ≥ R-5 for all other assemblies (e.g., with 2x6 framing) </t>
    </r>
    <r>
      <rPr>
        <sz val="6"/>
        <rFont val="Arial"/>
        <family val="2"/>
      </rPr>
      <t>19</t>
    </r>
    <r>
      <rPr>
        <sz val="9"/>
        <rFont val="Arial"/>
        <family val="2"/>
      </rPr>
      <t xml:space="preserve">, </t>
    </r>
    <r>
      <rPr>
        <b/>
        <sz val="9"/>
        <rFont val="Arial"/>
        <family val="2"/>
      </rPr>
      <t>AND</t>
    </r>
    <r>
      <rPr>
        <sz val="9"/>
        <rFont val="Arial"/>
        <family val="2"/>
      </rPr>
      <t>;</t>
    </r>
  </si>
  <si>
    <r>
      <rPr>
        <sz val="9"/>
        <rFont val="Arial"/>
        <family val="2"/>
      </rPr>
      <t xml:space="preserve">4.4.5c Framing limited at all windows &amp; doors to one pair of king studs, plus one pair of jack studs per window opening to support the header and sill </t>
    </r>
    <r>
      <rPr>
        <sz val="6"/>
        <rFont val="Arial"/>
        <family val="2"/>
      </rPr>
      <t>20</t>
    </r>
    <r>
      <rPr>
        <sz val="9"/>
        <rFont val="Arial"/>
        <family val="2"/>
      </rPr>
      <t xml:space="preserve">, </t>
    </r>
    <r>
      <rPr>
        <b/>
        <sz val="9"/>
        <rFont val="Arial"/>
        <family val="2"/>
      </rPr>
      <t>AND</t>
    </r>
    <r>
      <rPr>
        <sz val="9"/>
        <rFont val="Arial"/>
        <family val="2"/>
      </rPr>
      <t>;</t>
    </r>
  </si>
  <si>
    <r>
      <rPr>
        <sz val="9"/>
        <rFont val="Arial"/>
        <family val="2"/>
      </rPr>
      <t xml:space="preserve">4.4.5d All interior / exterior wall intersections insulated to the same R-value as the rest of the exterior wall </t>
    </r>
    <r>
      <rPr>
        <sz val="6"/>
        <rFont val="Arial"/>
        <family val="2"/>
      </rPr>
      <t>21</t>
    </r>
    <r>
      <rPr>
        <sz val="9"/>
        <rFont val="Arial"/>
        <family val="2"/>
      </rPr>
      <t xml:space="preserve">, </t>
    </r>
    <r>
      <rPr>
        <b/>
        <sz val="9"/>
        <rFont val="Arial"/>
        <family val="2"/>
      </rPr>
      <t>AND</t>
    </r>
    <r>
      <rPr>
        <sz val="9"/>
        <rFont val="Arial"/>
        <family val="2"/>
      </rPr>
      <t>;</t>
    </r>
  </si>
  <si>
    <r>
      <rPr>
        <sz val="9"/>
        <rFont val="Arial"/>
        <family val="2"/>
      </rPr>
      <t xml:space="preserve">4.4.5e Minimum stud spacing of 16 in. o.c. for 2x4 framing in all Climate Zones and, in Climate Zones 5 through 8, 24 in. o.c. for 2x6 framing </t>
    </r>
    <r>
      <rPr>
        <sz val="6"/>
        <rFont val="Arial"/>
        <family val="2"/>
      </rPr>
      <t>22</t>
    </r>
  </si>
  <si>
    <r>
      <rPr>
        <b/>
        <sz val="9"/>
        <rFont val="Arial"/>
        <family val="2"/>
      </rPr>
      <t>5. Air Sealing</t>
    </r>
  </si>
  <si>
    <r>
      <rPr>
        <b/>
        <sz val="8"/>
        <rFont val="Arial"/>
        <family val="2"/>
      </rPr>
      <t xml:space="preserve">Must
</t>
    </r>
    <r>
      <rPr>
        <b/>
        <sz val="8"/>
        <rFont val="Arial"/>
        <family val="2"/>
      </rPr>
      <t>Correct</t>
    </r>
  </si>
  <si>
    <r>
      <rPr>
        <b/>
        <sz val="8"/>
        <rFont val="Arial"/>
        <family val="2"/>
      </rPr>
      <t xml:space="preserve">Builder
</t>
    </r>
    <r>
      <rPr>
        <b/>
        <sz val="8"/>
        <rFont val="Arial"/>
        <family val="2"/>
      </rPr>
      <t xml:space="preserve">Verified </t>
    </r>
    <r>
      <rPr>
        <b/>
        <sz val="5"/>
        <rFont val="Arial"/>
        <family val="2"/>
      </rPr>
      <t>1</t>
    </r>
  </si>
  <si>
    <r>
      <rPr>
        <b/>
        <sz val="8"/>
        <rFont val="Arial"/>
        <family val="2"/>
      </rPr>
      <t xml:space="preserve">Rater
</t>
    </r>
    <r>
      <rPr>
        <b/>
        <sz val="8"/>
        <rFont val="Arial"/>
        <family val="2"/>
      </rPr>
      <t>Verified</t>
    </r>
  </si>
  <si>
    <r>
      <rPr>
        <sz val="9"/>
        <rFont val="Arial"/>
        <family val="2"/>
      </rPr>
      <t>5.1 Penetrations to unconditioned space fully sealed with solid blocking or flashing as needed and gaps sealed with caulk or foam</t>
    </r>
  </si>
  <si>
    <r>
      <rPr>
        <sz val="9"/>
        <rFont val="Arial"/>
        <family val="2"/>
      </rPr>
      <t>5.1.1 Duct / flue shaft</t>
    </r>
  </si>
  <si>
    <r>
      <rPr>
        <sz val="9"/>
        <rFont val="Arial"/>
        <family val="2"/>
      </rPr>
      <t>5.1.2 Plumbing / piping</t>
    </r>
  </si>
  <si>
    <r>
      <rPr>
        <sz val="9"/>
        <rFont val="Arial"/>
        <family val="2"/>
      </rPr>
      <t>5.1.3 Electrical wiring</t>
    </r>
  </si>
  <si>
    <r>
      <rPr>
        <sz val="9"/>
        <rFont val="Arial"/>
        <family val="2"/>
      </rPr>
      <t>5.1.4 Bathroom and kitchen exhaust fans</t>
    </r>
  </si>
  <si>
    <r>
      <rPr>
        <sz val="9"/>
        <rFont val="Arial"/>
        <family val="2"/>
      </rPr>
      <t xml:space="preserve">5.1.5 Recessed lighting fixtures adjacent to unconditioned space ICAT labeled and fully gasketed.
</t>
    </r>
    <r>
      <rPr>
        <sz val="9"/>
        <rFont val="Arial"/>
        <family val="2"/>
      </rPr>
      <t>Also, if in insulated ceiling without attic above, exterior surface of fixture insulated to ≥ R-10 in CZ 4 and higher to minimize condensation potential.</t>
    </r>
  </si>
  <si>
    <r>
      <rPr>
        <sz val="9"/>
        <rFont val="Arial"/>
        <family val="2"/>
      </rPr>
      <t xml:space="preserve">5.1.6 Light tubes adjacent to unconditioned space include lens separating unconditioned and conditioned space and are fully gasketed </t>
    </r>
    <r>
      <rPr>
        <sz val="6"/>
        <rFont val="Arial"/>
        <family val="2"/>
      </rPr>
      <t>23</t>
    </r>
  </si>
  <si>
    <r>
      <rPr>
        <sz val="9"/>
        <rFont val="Arial"/>
        <family val="2"/>
      </rPr>
      <t>5.2 Cracks in the building envelope fully sealed</t>
    </r>
  </si>
  <si>
    <r>
      <rPr>
        <sz val="9"/>
        <rFont val="Arial"/>
        <family val="2"/>
      </rPr>
      <t xml:space="preserve">5.2.1 All above-grade sill plates adjacent to conditioned space sealed to foundation or sub-floor with caulk, foam, or equivalent material. Foam gasket also placed beneath above-grade sill plate if resting atop concrete or masonry and adjacent to conditioned space </t>
    </r>
    <r>
      <rPr>
        <sz val="6"/>
        <rFont val="Arial"/>
        <family val="2"/>
      </rPr>
      <t>24, 25</t>
    </r>
  </si>
  <si>
    <r>
      <rPr>
        <sz val="9"/>
        <rFont val="Arial"/>
        <family val="2"/>
      </rPr>
      <t>5.2.2 At top of walls adjoining unconditioned spaces, continuous top plates or sealed blocking using caulk, foam, or equivalent material</t>
    </r>
  </si>
  <si>
    <r>
      <rPr>
        <sz val="9"/>
        <rFont val="Arial"/>
        <family val="2"/>
      </rPr>
      <t>5.2.3 Drywall sealed to top plate at all unconditioned attic / wall interfaces using caulk, foam, drywall adhesive (but not other construction adhesives), or equivalent material. Either apply sealant directly between drywall and top plate or to the seam between the two from the attic above.</t>
    </r>
  </si>
  <si>
    <r>
      <rPr>
        <sz val="9"/>
        <rFont val="Arial"/>
        <family val="2"/>
      </rPr>
      <t xml:space="preserve">5.2.4 Rough opening around windows &amp; exterior doors sealed with caulk or foam </t>
    </r>
    <r>
      <rPr>
        <sz val="6"/>
        <rFont val="Arial"/>
        <family val="2"/>
      </rPr>
      <t>26</t>
    </r>
  </si>
  <si>
    <r>
      <rPr>
        <sz val="9"/>
        <rFont val="Arial"/>
        <family val="2"/>
      </rPr>
      <t>5.2.5 Marriage joints between modular home modules at all exterior boundary conditions fully sealed with gasket and foam</t>
    </r>
  </si>
  <si>
    <r>
      <rPr>
        <sz val="9"/>
        <rFont val="Arial"/>
        <family val="2"/>
      </rPr>
      <t>5.2.6 All seams between Structural Insulated Panels (SIPs) foamed and / or taped per manufacturer’s instructions</t>
    </r>
  </si>
  <si>
    <r>
      <rPr>
        <sz val="9"/>
        <rFont val="Arial"/>
        <family val="2"/>
      </rPr>
      <t>5.2.7 In multifamily buildings, the gap between the common wall (e.g. the drywall shaft wall) and the structural framing between units fully sealed at all exterior boundaries</t>
    </r>
  </si>
  <si>
    <r>
      <rPr>
        <sz val="9"/>
        <rFont val="Arial"/>
        <family val="2"/>
      </rPr>
      <t>5.3 Other openings</t>
    </r>
  </si>
  <si>
    <r>
      <rPr>
        <sz val="9"/>
        <rFont val="Arial"/>
        <family val="2"/>
      </rPr>
      <t>5.3.1 Doors adjacent to unconditioned space (e.g., attics, garages, basements) or ambient conditions made substantially air-tight with weatherstripping or equivalent gasket</t>
    </r>
  </si>
  <si>
    <r>
      <rPr>
        <sz val="9"/>
        <rFont val="Arial"/>
        <family val="2"/>
      </rPr>
      <t xml:space="preserve">5.3.2 Attic access panels and drop-down stairs equipped with a durable ≥ R-10 insulated cover that is gasketed (i.e., not caulked) to produce continuous air seal when occupant is not accessing the attic </t>
    </r>
    <r>
      <rPr>
        <sz val="6"/>
        <rFont val="Arial"/>
        <family val="2"/>
      </rPr>
      <t>27</t>
    </r>
  </si>
  <si>
    <r>
      <rPr>
        <sz val="9"/>
        <rFont val="Arial"/>
        <family val="2"/>
      </rPr>
      <t xml:space="preserve">5.3.3 Whole-house fans equipped with a durable ≥ R-10 insulated cover that is gasketed and either installed on the house side or mechanically operated </t>
    </r>
    <r>
      <rPr>
        <sz val="6"/>
        <rFont val="Arial"/>
        <family val="2"/>
      </rPr>
      <t>27</t>
    </r>
  </si>
  <si>
    <t>Pre drywall</t>
  </si>
  <si>
    <t>Builder</t>
  </si>
  <si>
    <t>1. High-Performance Fenestration</t>
  </si>
  <si>
    <r>
      <rPr>
        <b/>
        <u/>
        <sz val="9"/>
        <rFont val="Arial"/>
        <family val="2"/>
      </rPr>
      <t>1.1</t>
    </r>
    <r>
      <rPr>
        <sz val="9"/>
        <rFont val="Arial"/>
        <family val="2"/>
      </rPr>
      <t xml:space="preserve">   </t>
    </r>
    <r>
      <rPr>
        <i/>
        <sz val="9"/>
        <rFont val="Arial"/>
        <family val="2"/>
      </rPr>
      <t xml:space="preserve">Presc. Path: </t>
    </r>
    <r>
      <rPr>
        <sz val="9"/>
        <rFont val="Arial"/>
        <family val="2"/>
      </rPr>
      <t xml:space="preserve">Fenestration </t>
    </r>
    <r>
      <rPr>
        <sz val="9"/>
        <rFont val="Calibri"/>
        <family val="2"/>
      </rPr>
      <t>≥</t>
    </r>
    <r>
      <rPr>
        <sz val="9"/>
        <rFont val="Arial"/>
        <family val="2"/>
      </rPr>
      <t xml:space="preserve"> E*   requirements </t>
    </r>
    <r>
      <rPr>
        <sz val="6"/>
        <rFont val="Arial"/>
        <family val="2"/>
      </rPr>
      <t>2</t>
    </r>
  </si>
  <si>
    <r>
      <rPr>
        <b/>
        <u/>
        <sz val="9"/>
        <rFont val="Arial"/>
        <family val="2"/>
      </rPr>
      <t>1.2</t>
    </r>
    <r>
      <rPr>
        <sz val="9"/>
        <rFont val="Arial"/>
        <family val="2"/>
      </rPr>
      <t xml:space="preserve">   </t>
    </r>
    <r>
      <rPr>
        <i/>
        <sz val="9"/>
        <rFont val="Arial"/>
        <family val="2"/>
      </rPr>
      <t>Performance Path</t>
    </r>
    <r>
      <rPr>
        <sz val="9"/>
        <rFont val="Arial"/>
        <family val="2"/>
      </rPr>
      <t xml:space="preserve">: Fenestration </t>
    </r>
    <r>
      <rPr>
        <sz val="9"/>
        <rFont val="Calibri"/>
        <family val="2"/>
      </rPr>
      <t>≥</t>
    </r>
    <r>
      <rPr>
        <sz val="9"/>
        <rFont val="Arial"/>
        <family val="2"/>
      </rPr>
      <t xml:space="preserve"> 2009 IECC requirements </t>
    </r>
    <r>
      <rPr>
        <sz val="6"/>
        <rFont val="Arial"/>
        <family val="2"/>
      </rPr>
      <t>2</t>
    </r>
  </si>
  <si>
    <t>2. Quality-Installed Insulation</t>
  </si>
  <si>
    <r>
      <rPr>
        <b/>
        <u/>
        <sz val="9"/>
        <rFont val="Arial"/>
        <family val="2"/>
      </rPr>
      <t>2.1</t>
    </r>
    <r>
      <rPr>
        <sz val="9"/>
        <rFont val="Arial"/>
        <family val="2"/>
      </rPr>
      <t xml:space="preserve">  Ceiling, wall, floor, and slab insulation levels shall comply with one of the following options:</t>
    </r>
  </si>
  <si>
    <r>
      <rPr>
        <b/>
        <u/>
        <sz val="9"/>
        <rFont val="Arial"/>
        <family val="2"/>
      </rPr>
      <t>2.1.1</t>
    </r>
    <r>
      <rPr>
        <sz val="9"/>
        <rFont val="Arial"/>
        <family val="2"/>
      </rPr>
      <t xml:space="preserve">   Meet or exceed 2009 IECC levels </t>
    </r>
    <r>
      <rPr>
        <sz val="6"/>
        <rFont val="Arial"/>
        <family val="2"/>
      </rPr>
      <t xml:space="preserve">3,4,5 </t>
    </r>
    <r>
      <rPr>
        <b/>
        <sz val="9"/>
        <rFont val="Arial"/>
        <family val="2"/>
      </rPr>
      <t>OR</t>
    </r>
    <r>
      <rPr>
        <sz val="9"/>
        <rFont val="Arial"/>
        <family val="2"/>
      </rPr>
      <t>;</t>
    </r>
  </si>
  <si>
    <r>
      <rPr>
        <b/>
        <u/>
        <sz val="9"/>
        <rFont val="Arial"/>
        <family val="2"/>
      </rPr>
      <t xml:space="preserve">3.1   Walls </t>
    </r>
    <r>
      <rPr>
        <b/>
        <u/>
        <sz val="6"/>
        <rFont val="Arial"/>
        <family val="2"/>
      </rPr>
      <t>10</t>
    </r>
  </si>
  <si>
    <r>
      <rPr>
        <b/>
        <u/>
        <sz val="9"/>
        <rFont val="Arial"/>
        <family val="2"/>
      </rPr>
      <t>3.1.1</t>
    </r>
    <r>
      <rPr>
        <sz val="9"/>
        <rFont val="Arial"/>
        <family val="2"/>
      </rPr>
      <t xml:space="preserve">  Walls behind showers and tubs</t>
    </r>
  </si>
  <si>
    <r>
      <rPr>
        <b/>
        <u/>
        <sz val="9"/>
        <rFont val="Arial"/>
        <family val="2"/>
      </rPr>
      <t>3.1.2</t>
    </r>
    <r>
      <rPr>
        <sz val="9"/>
        <rFont val="Arial"/>
        <family val="2"/>
      </rPr>
      <t xml:space="preserve">  Walls behind fireplaces</t>
    </r>
  </si>
  <si>
    <r>
      <rPr>
        <b/>
        <u/>
        <sz val="9"/>
        <rFont val="Arial"/>
        <family val="2"/>
      </rPr>
      <t xml:space="preserve">3.1.3 </t>
    </r>
    <r>
      <rPr>
        <sz val="9"/>
        <rFont val="Arial"/>
        <family val="2"/>
      </rPr>
      <t xml:space="preserve">  Attic knee walls </t>
    </r>
    <r>
      <rPr>
        <sz val="6"/>
        <rFont val="Arial"/>
        <family val="2"/>
      </rPr>
      <t>11</t>
    </r>
  </si>
  <si>
    <r>
      <rPr>
        <b/>
        <u/>
        <sz val="9"/>
        <rFont val="Arial"/>
        <family val="2"/>
      </rPr>
      <t xml:space="preserve">3.1.4 </t>
    </r>
    <r>
      <rPr>
        <sz val="9"/>
        <rFont val="Arial"/>
        <family val="2"/>
      </rPr>
      <t xml:space="preserve">  Skylight shaft walls</t>
    </r>
  </si>
  <si>
    <r>
      <rPr>
        <b/>
        <u/>
        <sz val="9"/>
        <rFont val="Arial"/>
        <family val="2"/>
      </rPr>
      <t>3.1.5</t>
    </r>
    <r>
      <rPr>
        <sz val="9"/>
        <rFont val="Arial"/>
        <family val="2"/>
      </rPr>
      <t xml:space="preserve">  Wall adjoining porch roof</t>
    </r>
  </si>
  <si>
    <r>
      <rPr>
        <b/>
        <u/>
        <sz val="9"/>
        <rFont val="Arial"/>
        <family val="2"/>
      </rPr>
      <t>3.1.6</t>
    </r>
    <r>
      <rPr>
        <sz val="9"/>
        <rFont val="Arial"/>
        <family val="2"/>
      </rPr>
      <t xml:space="preserve">   Staircase walls</t>
    </r>
  </si>
  <si>
    <r>
      <rPr>
        <b/>
        <u/>
        <sz val="9"/>
        <rFont val="Arial"/>
        <family val="2"/>
      </rPr>
      <t>3.1.7</t>
    </r>
    <r>
      <rPr>
        <sz val="9"/>
        <rFont val="Arial"/>
        <family val="2"/>
      </rPr>
      <t xml:space="preserve">   Double walls</t>
    </r>
  </si>
  <si>
    <r>
      <rPr>
        <b/>
        <u/>
        <sz val="9"/>
        <rFont val="Arial"/>
        <family val="2"/>
      </rPr>
      <t>3.1.8</t>
    </r>
    <r>
      <rPr>
        <sz val="9"/>
        <rFont val="Arial"/>
        <family val="2"/>
      </rPr>
      <t xml:space="preserve">   Garage rim joist next to conditioned space</t>
    </r>
  </si>
  <si>
    <r>
      <rPr>
        <b/>
        <u/>
        <sz val="9"/>
        <rFont val="Arial"/>
        <family val="2"/>
      </rPr>
      <t>3.1.9</t>
    </r>
    <r>
      <rPr>
        <sz val="9"/>
        <rFont val="Arial"/>
        <family val="2"/>
      </rPr>
      <t xml:space="preserve">   All other exterior walls</t>
    </r>
  </si>
  <si>
    <t>3.2   Floors</t>
  </si>
  <si>
    <r>
      <rPr>
        <b/>
        <u/>
        <sz val="9"/>
        <rFont val="Arial"/>
        <family val="2"/>
      </rPr>
      <t>3.2.1</t>
    </r>
    <r>
      <rPr>
        <sz val="9"/>
        <rFont val="Arial"/>
        <family val="2"/>
      </rPr>
      <t xml:space="preserve">   Floor above garage</t>
    </r>
  </si>
  <si>
    <r>
      <rPr>
        <b/>
        <u/>
        <sz val="9"/>
        <rFont val="Arial"/>
        <family val="2"/>
      </rPr>
      <t>3.2.2</t>
    </r>
    <r>
      <rPr>
        <sz val="9"/>
        <rFont val="Arial"/>
        <family val="2"/>
      </rPr>
      <t xml:space="preserve">   Cantilevered floor</t>
    </r>
  </si>
  <si>
    <r>
      <rPr>
        <b/>
        <u/>
        <sz val="9"/>
        <rFont val="Arial"/>
        <family val="2"/>
      </rPr>
      <t>3.2.3</t>
    </r>
    <r>
      <rPr>
        <sz val="9"/>
        <rFont val="Arial"/>
        <family val="2"/>
      </rPr>
      <t xml:space="preserve">   Floor above unconditioned basement or crawlspace</t>
    </r>
  </si>
  <si>
    <r>
      <rPr>
        <b/>
        <u/>
        <sz val="9"/>
        <rFont val="Arial"/>
        <family val="2"/>
      </rPr>
      <t xml:space="preserve">3.3  Ceilings </t>
    </r>
    <r>
      <rPr>
        <b/>
        <u/>
        <sz val="6"/>
        <rFont val="Arial"/>
        <family val="2"/>
      </rPr>
      <t>10</t>
    </r>
  </si>
  <si>
    <r>
      <rPr>
        <b/>
        <u/>
        <sz val="9"/>
        <rFont val="Arial"/>
        <family val="2"/>
      </rPr>
      <t>3.3.1</t>
    </r>
    <r>
      <rPr>
        <sz val="9"/>
        <rFont val="Arial"/>
        <family val="2"/>
      </rPr>
      <t xml:space="preserve">   Dropped ceiling / soffit below unconditioned     attic</t>
    </r>
  </si>
  <si>
    <r>
      <rPr>
        <b/>
        <u/>
        <sz val="9"/>
        <rFont val="Arial"/>
        <family val="2"/>
      </rPr>
      <t>3.3.2</t>
    </r>
    <r>
      <rPr>
        <sz val="9"/>
        <rFont val="Arial"/>
        <family val="2"/>
      </rPr>
      <t xml:space="preserve">   All other ceilings</t>
    </r>
  </si>
  <si>
    <t>4. Reduced Thermal Bridging</t>
  </si>
  <si>
    <r>
      <rPr>
        <b/>
        <u/>
        <sz val="9"/>
        <rFont val="Arial"/>
        <family val="2"/>
      </rPr>
      <t>4.1</t>
    </r>
    <r>
      <rPr>
        <sz val="9"/>
        <rFont val="Arial"/>
        <family val="2"/>
      </rPr>
      <t xml:space="preserve">    R-21 inside face of the exterior wall below at these levels: CZ 1-5 </t>
    </r>
    <r>
      <rPr>
        <sz val="6"/>
        <rFont val="Arial"/>
        <family val="2"/>
      </rPr>
      <t>12</t>
    </r>
  </si>
  <si>
    <r>
      <rPr>
        <b/>
        <u/>
        <sz val="9"/>
        <rFont val="Arial"/>
        <family val="2"/>
      </rPr>
      <t>4.3</t>
    </r>
    <r>
      <rPr>
        <sz val="9"/>
        <rFont val="Arial"/>
        <family val="2"/>
      </rPr>
      <t xml:space="preserve">    Insulation beneath attic platforms (e.g., HVAC platforms, walkways) ≥ R-21 in CZ 1-5</t>
    </r>
  </si>
  <si>
    <t>4.4 Above Grade Walls</t>
  </si>
  <si>
    <r>
      <rPr>
        <b/>
        <u/>
        <sz val="9"/>
        <rFont val="Arial"/>
        <family val="2"/>
      </rPr>
      <t>4.4.1</t>
    </r>
    <r>
      <rPr>
        <sz val="9"/>
        <rFont val="Arial"/>
        <family val="2"/>
      </rPr>
      <t xml:space="preserve">   Continuous rigid insulation, insulated siding, or combination of the  two; </t>
    </r>
    <r>
      <rPr>
        <sz val="9"/>
        <rFont val="Calibri"/>
        <family val="2"/>
      </rPr>
      <t>≥</t>
    </r>
    <r>
      <rPr>
        <sz val="9"/>
        <rFont val="Arial"/>
        <family val="2"/>
      </rPr>
      <t xml:space="preserve"> R-3 CZ 1-4 </t>
    </r>
    <r>
      <rPr>
        <vertAlign val="subscript"/>
        <sz val="9"/>
        <rFont val="Arial"/>
        <family val="2"/>
      </rPr>
      <t>14,15,16</t>
    </r>
    <r>
      <rPr>
        <sz val="9"/>
        <rFont val="Arial"/>
        <family val="2"/>
      </rPr>
      <t xml:space="preserve"> </t>
    </r>
    <r>
      <rPr>
        <b/>
        <sz val="9"/>
        <rFont val="Arial"/>
        <family val="2"/>
      </rPr>
      <t>OR</t>
    </r>
    <r>
      <rPr>
        <sz val="9"/>
        <rFont val="Arial"/>
        <family val="2"/>
      </rPr>
      <t>;</t>
    </r>
  </si>
  <si>
    <r>
      <rPr>
        <b/>
        <u/>
        <sz val="9"/>
        <rFont val="Arial"/>
        <family val="2"/>
      </rPr>
      <t>4.4.2</t>
    </r>
    <r>
      <rPr>
        <sz val="9"/>
        <rFont val="Arial"/>
        <family val="2"/>
      </rPr>
      <t xml:space="preserve">   Structural Insulated Panels (SIPs) </t>
    </r>
    <r>
      <rPr>
        <sz val="6"/>
        <rFont val="Arial"/>
        <family val="2"/>
      </rPr>
      <t>14</t>
    </r>
    <r>
      <rPr>
        <sz val="9"/>
        <rFont val="Arial"/>
        <family val="2"/>
      </rPr>
      <t xml:space="preserve">, </t>
    </r>
    <r>
      <rPr>
        <b/>
        <sz val="9"/>
        <rFont val="Arial"/>
        <family val="2"/>
      </rPr>
      <t>OR</t>
    </r>
    <r>
      <rPr>
        <sz val="9"/>
        <rFont val="Arial"/>
        <family val="2"/>
      </rPr>
      <t>;</t>
    </r>
  </si>
  <si>
    <r>
      <rPr>
        <b/>
        <u/>
        <sz val="9"/>
        <rFont val="Arial"/>
        <family val="2"/>
      </rPr>
      <t>4.4.3</t>
    </r>
    <r>
      <rPr>
        <sz val="9"/>
        <rFont val="Arial"/>
        <family val="2"/>
      </rPr>
      <t xml:space="preserve">   Insulated Concrete Forms (ICFs) </t>
    </r>
    <r>
      <rPr>
        <sz val="6"/>
        <rFont val="Arial"/>
        <family val="2"/>
      </rPr>
      <t>14</t>
    </r>
    <r>
      <rPr>
        <sz val="9"/>
        <rFont val="Arial"/>
        <family val="2"/>
      </rPr>
      <t xml:space="preserve">, </t>
    </r>
    <r>
      <rPr>
        <b/>
        <sz val="9"/>
        <rFont val="Arial"/>
        <family val="2"/>
      </rPr>
      <t>OR</t>
    </r>
    <r>
      <rPr>
        <sz val="9"/>
        <rFont val="Arial"/>
        <family val="2"/>
      </rPr>
      <t>;</t>
    </r>
  </si>
  <si>
    <r>
      <rPr>
        <b/>
        <u/>
        <sz val="9"/>
        <rFont val="Arial"/>
        <family val="2"/>
      </rPr>
      <t>4.4.4</t>
    </r>
    <r>
      <rPr>
        <sz val="9"/>
        <rFont val="Arial"/>
        <family val="2"/>
      </rPr>
      <t xml:space="preserve">   Double-wall framing </t>
    </r>
    <r>
      <rPr>
        <sz val="6"/>
        <rFont val="Arial"/>
        <family val="2"/>
      </rPr>
      <t>14,17</t>
    </r>
    <r>
      <rPr>
        <sz val="9"/>
        <rFont val="Arial"/>
        <family val="2"/>
      </rPr>
      <t xml:space="preserve">, </t>
    </r>
    <r>
      <rPr>
        <b/>
        <sz val="9"/>
        <rFont val="Arial"/>
        <family val="2"/>
      </rPr>
      <t>OR</t>
    </r>
    <r>
      <rPr>
        <sz val="9"/>
        <rFont val="Arial"/>
        <family val="2"/>
      </rPr>
      <t>;</t>
    </r>
  </si>
  <si>
    <t>4.45 Advanced Framing</t>
  </si>
  <si>
    <r>
      <rPr>
        <b/>
        <u/>
        <sz val="9"/>
        <rFont val="Arial"/>
        <family val="2"/>
      </rPr>
      <t>4.4.5a</t>
    </r>
    <r>
      <rPr>
        <sz val="9"/>
        <rFont val="Arial"/>
        <family val="2"/>
      </rPr>
      <t xml:space="preserve">   All corners insulated ≥ R-6 to edge </t>
    </r>
    <r>
      <rPr>
        <sz val="6"/>
        <rFont val="Arial"/>
        <family val="2"/>
      </rPr>
      <t>18</t>
    </r>
    <r>
      <rPr>
        <sz val="9"/>
        <rFont val="Arial"/>
        <family val="2"/>
      </rPr>
      <t xml:space="preserve">, </t>
    </r>
    <r>
      <rPr>
        <b/>
        <sz val="9"/>
        <rFont val="Arial"/>
        <family val="2"/>
      </rPr>
      <t>AND</t>
    </r>
    <r>
      <rPr>
        <sz val="9"/>
        <rFont val="Arial"/>
        <family val="2"/>
      </rPr>
      <t>;</t>
    </r>
  </si>
  <si>
    <r>
      <rPr>
        <b/>
        <u/>
        <sz val="9"/>
        <rFont val="Arial"/>
        <family val="2"/>
      </rPr>
      <t>4.4.5</t>
    </r>
    <r>
      <rPr>
        <sz val="9"/>
        <rFont val="Arial"/>
        <family val="2"/>
      </rPr>
      <t xml:space="preserve">   Window/door headers insulated ≥ R-3 for 2x4 framing ( ≥ R-5 2x6 framing) </t>
    </r>
    <r>
      <rPr>
        <sz val="6"/>
        <rFont val="Arial"/>
        <family val="2"/>
      </rPr>
      <t>19</t>
    </r>
    <r>
      <rPr>
        <sz val="9"/>
        <rFont val="Arial"/>
        <family val="2"/>
      </rPr>
      <t xml:space="preserve">, </t>
    </r>
    <r>
      <rPr>
        <b/>
        <sz val="9"/>
        <rFont val="Arial"/>
        <family val="2"/>
      </rPr>
      <t>AND</t>
    </r>
    <r>
      <rPr>
        <sz val="9"/>
        <rFont val="Arial"/>
        <family val="2"/>
      </rPr>
      <t>;</t>
    </r>
  </si>
  <si>
    <r>
      <rPr>
        <b/>
        <u/>
        <sz val="9"/>
        <rFont val="Arial"/>
        <family val="2"/>
      </rPr>
      <t>4.4.5c</t>
    </r>
    <r>
      <rPr>
        <sz val="9"/>
        <rFont val="Arial"/>
        <family val="2"/>
      </rPr>
      <t xml:space="preserve">   Framing limited at all windows/doors to one pair of kings, + one pair of jacks </t>
    </r>
    <r>
      <rPr>
        <sz val="6"/>
        <rFont val="Arial"/>
        <family val="2"/>
      </rPr>
      <t>20</t>
    </r>
    <r>
      <rPr>
        <sz val="9"/>
        <rFont val="Arial"/>
        <family val="2"/>
      </rPr>
      <t xml:space="preserve">, </t>
    </r>
    <r>
      <rPr>
        <b/>
        <sz val="9"/>
        <rFont val="Arial"/>
        <family val="2"/>
      </rPr>
      <t>AND</t>
    </r>
    <r>
      <rPr>
        <sz val="9"/>
        <rFont val="Arial"/>
        <family val="2"/>
      </rPr>
      <t>;</t>
    </r>
  </si>
  <si>
    <r>
      <rPr>
        <b/>
        <u/>
        <sz val="9"/>
        <rFont val="Arial"/>
        <family val="2"/>
      </rPr>
      <t>4.45d</t>
    </r>
    <r>
      <rPr>
        <sz val="9"/>
        <rFont val="Arial"/>
        <family val="2"/>
      </rPr>
      <t xml:space="preserve">   All interior/exterior wall intersections same R-value as the rest of the exterior wall </t>
    </r>
    <r>
      <rPr>
        <sz val="6"/>
        <rFont val="Arial"/>
        <family val="2"/>
      </rPr>
      <t>21</t>
    </r>
    <r>
      <rPr>
        <sz val="9"/>
        <rFont val="Arial"/>
        <family val="2"/>
      </rPr>
      <t xml:space="preserve">, </t>
    </r>
    <r>
      <rPr>
        <b/>
        <sz val="9"/>
        <rFont val="Arial"/>
        <family val="2"/>
      </rPr>
      <t>AND</t>
    </r>
    <r>
      <rPr>
        <sz val="9"/>
        <rFont val="Arial"/>
        <family val="2"/>
      </rPr>
      <t>;</t>
    </r>
  </si>
  <si>
    <r>
      <rPr>
        <b/>
        <u/>
        <sz val="9"/>
        <rFont val="Arial"/>
        <family val="2"/>
      </rPr>
      <t>4.4.5e</t>
    </r>
    <r>
      <rPr>
        <sz val="9"/>
        <rFont val="Arial"/>
        <family val="2"/>
      </rPr>
      <t xml:space="preserve">   Minimum stud spacing of 16 in. o.c. for 2x4 framing in all Climate Zones </t>
    </r>
    <r>
      <rPr>
        <sz val="6"/>
        <rFont val="Arial"/>
        <family val="2"/>
      </rPr>
      <t>22</t>
    </r>
  </si>
  <si>
    <t>5.1   Penetrations to unconditioned space sealed with blocking/flashing and gaps sealed</t>
  </si>
  <si>
    <r>
      <rPr>
        <b/>
        <u/>
        <sz val="9"/>
        <rFont val="Arial"/>
        <family val="2"/>
      </rPr>
      <t>5.1.1</t>
    </r>
    <r>
      <rPr>
        <sz val="9"/>
        <rFont val="Arial"/>
        <family val="2"/>
      </rPr>
      <t xml:space="preserve">   Duct / flue shaft</t>
    </r>
  </si>
  <si>
    <r>
      <rPr>
        <b/>
        <u/>
        <sz val="9"/>
        <rFont val="Arial"/>
        <family val="2"/>
      </rPr>
      <t>5.1.2</t>
    </r>
    <r>
      <rPr>
        <sz val="9"/>
        <rFont val="Arial"/>
        <family val="2"/>
      </rPr>
      <t xml:space="preserve">   Plumbing / piping</t>
    </r>
  </si>
  <si>
    <r>
      <rPr>
        <b/>
        <u/>
        <sz val="9"/>
        <rFont val="Arial"/>
        <family val="2"/>
      </rPr>
      <t>5.1.3</t>
    </r>
    <r>
      <rPr>
        <sz val="9"/>
        <rFont val="Arial"/>
        <family val="2"/>
      </rPr>
      <t xml:space="preserve">   Electrical wiring</t>
    </r>
  </si>
  <si>
    <r>
      <rPr>
        <b/>
        <u/>
        <sz val="9"/>
        <rFont val="Arial"/>
        <family val="2"/>
      </rPr>
      <t>5.1.4</t>
    </r>
    <r>
      <rPr>
        <sz val="9"/>
        <rFont val="Arial"/>
        <family val="2"/>
      </rPr>
      <t xml:space="preserve">   Bathroom and kitchen exhaust fans</t>
    </r>
  </si>
  <si>
    <r>
      <rPr>
        <b/>
        <u/>
        <sz val="9"/>
        <rFont val="Arial"/>
        <family val="2"/>
      </rPr>
      <t>5.1.6</t>
    </r>
    <r>
      <rPr>
        <sz val="9"/>
        <rFont val="Arial"/>
        <family val="2"/>
      </rPr>
      <t xml:space="preserve">   Light tubes gasketed </t>
    </r>
    <r>
      <rPr>
        <sz val="6"/>
        <rFont val="Arial"/>
        <family val="2"/>
      </rPr>
      <t>23</t>
    </r>
  </si>
  <si>
    <t>5.2   Cracks in the building envelope fully sealed</t>
  </si>
  <si>
    <r>
      <rPr>
        <b/>
        <u/>
        <sz val="9"/>
        <rFont val="Arial"/>
        <family val="2"/>
      </rPr>
      <t>5.2.1</t>
    </r>
    <r>
      <rPr>
        <sz val="9"/>
        <rFont val="Arial"/>
        <family val="2"/>
      </rPr>
      <t xml:space="preserve">   Sill plates sealed to sub-floor. Also, foam gasket at sill on masonry slab </t>
    </r>
    <r>
      <rPr>
        <sz val="6"/>
        <rFont val="Arial"/>
        <family val="2"/>
      </rPr>
      <t>24, 25</t>
    </r>
  </si>
  <si>
    <r>
      <rPr>
        <b/>
        <u/>
        <sz val="9"/>
        <rFont val="Arial"/>
        <family val="2"/>
      </rPr>
      <t>5.2.2</t>
    </r>
    <r>
      <rPr>
        <sz val="9"/>
        <rFont val="Arial"/>
        <family val="2"/>
      </rPr>
      <t xml:space="preserve">   At top of walls adjoining unconditioned spaces, sealed top plates</t>
    </r>
  </si>
  <si>
    <r>
      <rPr>
        <b/>
        <u/>
        <sz val="9"/>
        <rFont val="Arial"/>
        <family val="2"/>
      </rPr>
      <t>5.2.3</t>
    </r>
    <r>
      <rPr>
        <sz val="9"/>
        <rFont val="Arial"/>
        <family val="2"/>
      </rPr>
      <t xml:space="preserve">   Drywall sealed to top plate</t>
    </r>
  </si>
  <si>
    <r>
      <rPr>
        <b/>
        <u/>
        <sz val="9"/>
        <rFont val="Arial"/>
        <family val="2"/>
      </rPr>
      <t>5.2.4</t>
    </r>
    <r>
      <rPr>
        <sz val="9"/>
        <rFont val="Arial"/>
        <family val="2"/>
      </rPr>
      <t xml:space="preserve">   Sealed opening around windows &amp; doors </t>
    </r>
    <r>
      <rPr>
        <vertAlign val="subscript"/>
        <sz val="9"/>
        <rFont val="Arial"/>
        <family val="2"/>
      </rPr>
      <t>26</t>
    </r>
    <r>
      <rPr>
        <sz val="9"/>
        <rFont val="Arial"/>
        <family val="2"/>
      </rPr>
      <t xml:space="preserve"> </t>
    </r>
  </si>
  <si>
    <r>
      <rPr>
        <b/>
        <u/>
        <sz val="9"/>
        <rFont val="Arial"/>
        <family val="2"/>
      </rPr>
      <t>5.2.5</t>
    </r>
    <r>
      <rPr>
        <sz val="9"/>
        <rFont val="Arial"/>
        <family val="2"/>
      </rPr>
      <t xml:space="preserve">   Modular home joints sealed and gasketed</t>
    </r>
  </si>
  <si>
    <r>
      <rPr>
        <b/>
        <u/>
        <sz val="9"/>
        <rFont val="Arial"/>
        <family val="2"/>
      </rPr>
      <t>5.2.6</t>
    </r>
    <r>
      <rPr>
        <sz val="9"/>
        <rFont val="Arial"/>
        <family val="2"/>
      </rPr>
      <t xml:space="preserve">   All seams between SIPs foamed and / or taped per manufacturer</t>
    </r>
  </si>
  <si>
    <t>5.3   Other openings</t>
  </si>
  <si>
    <r>
      <rPr>
        <b/>
        <u/>
        <sz val="9"/>
        <rFont val="Arial"/>
        <family val="2"/>
      </rPr>
      <t>5.3.1</t>
    </r>
    <r>
      <rPr>
        <sz val="9"/>
        <rFont val="Arial"/>
        <family val="2"/>
      </rPr>
      <t xml:space="preserve">   Doors next to unconditioned space gasketed</t>
    </r>
  </si>
  <si>
    <r>
      <rPr>
        <b/>
        <u/>
        <sz val="9"/>
        <rFont val="Arial"/>
        <family val="2"/>
      </rPr>
      <t>5.3.2</t>
    </r>
    <r>
      <rPr>
        <sz val="9"/>
        <rFont val="Arial"/>
        <family val="2"/>
      </rPr>
      <t xml:space="preserve">   Attic panels/drop-down stairs have ≥ R-10 insulated cover &amp; gasket </t>
    </r>
    <r>
      <rPr>
        <sz val="6"/>
        <rFont val="Arial"/>
        <family val="2"/>
      </rPr>
      <t>27</t>
    </r>
  </si>
  <si>
    <r>
      <rPr>
        <b/>
        <u/>
        <sz val="9"/>
        <rFont val="Arial"/>
        <family val="2"/>
      </rPr>
      <t>5.3.3</t>
    </r>
    <r>
      <rPr>
        <sz val="9"/>
        <rFont val="Arial"/>
        <family val="2"/>
      </rPr>
      <t xml:space="preserve">   Whole-house fans have ≥ R-10 insulated cover &amp; gasket and either installed on the house side or mechanically operated </t>
    </r>
    <r>
      <rPr>
        <sz val="6"/>
        <rFont val="Arial"/>
        <family val="2"/>
      </rPr>
      <t>27</t>
    </r>
  </si>
  <si>
    <r>
      <rPr>
        <b/>
        <u/>
        <sz val="9"/>
        <rFont val="Arial"/>
        <family val="2"/>
      </rPr>
      <t>5.1.5</t>
    </r>
    <r>
      <rPr>
        <sz val="9"/>
        <rFont val="Arial"/>
        <family val="2"/>
      </rPr>
      <t xml:space="preserve">   Recessed lights in unconditioned space        ICAT &amp; sealed. Also, if in insulated ceiling w/o attic above, exterior surface of fixture to ≥ R-10 in CZ 4</t>
    </r>
  </si>
  <si>
    <r>
      <rPr>
        <b/>
        <u/>
        <sz val="9"/>
        <rFont val="Arial"/>
        <family val="2"/>
      </rPr>
      <t>2.1.2</t>
    </r>
    <r>
      <rPr>
        <sz val="9"/>
        <rFont val="Arial"/>
        <family val="2"/>
      </rPr>
      <t xml:space="preserve">   Achieve ≤ 133% of the total UA resulting from the U-factors in 2009 IECC Table 402.1.3</t>
    </r>
  </si>
  <si>
    <r>
      <rPr>
        <b/>
        <u/>
        <sz val="9"/>
        <rFont val="Arial"/>
        <family val="2"/>
      </rPr>
      <t>5.2.7</t>
    </r>
    <r>
      <rPr>
        <sz val="9"/>
        <rFont val="Arial"/>
        <family val="2"/>
      </rPr>
      <t xml:space="preserve">   In multifamilies, gap between common wall (e.g. the drywall shaft wall) and the      structural framing between units fully sealed at all exterior boundaries</t>
    </r>
  </si>
  <si>
    <r>
      <rPr>
        <b/>
        <u/>
        <sz val="9"/>
        <rFont val="Arial"/>
        <family val="2"/>
      </rPr>
      <t>4.2</t>
    </r>
    <r>
      <rPr>
        <sz val="9"/>
        <rFont val="Arial"/>
        <family val="2"/>
      </rPr>
      <t xml:space="preserve">   For slabs on grade in CZ 4 and higher, 100% of slab edge ≥ R-5 per depth specified         by the 2009 IECC and aligned with thermal boundary of the walls </t>
    </r>
    <r>
      <rPr>
        <sz val="6"/>
        <rFont val="Arial"/>
        <family val="2"/>
      </rPr>
      <t>4,5</t>
    </r>
  </si>
  <si>
    <r>
      <rPr>
        <b/>
        <u/>
        <sz val="9"/>
        <rFont val="Arial"/>
        <family val="2"/>
      </rPr>
      <t>2.2</t>
    </r>
    <r>
      <rPr>
        <sz val="9"/>
        <rFont val="Arial"/>
        <family val="2"/>
      </rPr>
      <t xml:space="preserve">  All ceiling, wall, floor, and slab insulation shall  achieve RESNET-defined Grade I   installation or, Grade II  with c.i. ≥ R-3 in CZ 1 to 4, ≥ R-5 in CZ 5 to 8</t>
    </r>
  </si>
  <si>
    <t>Sign-off</t>
  </si>
  <si>
    <t>ENERGY STAR Certified Homes, Version 3 (Rev. 07)</t>
  </si>
  <si>
    <t>Thermal Enclosure System Rater Checklist</t>
  </si>
  <si>
    <r>
      <rPr>
        <b/>
        <u/>
        <sz val="9"/>
        <rFont val="Arial"/>
        <family val="2"/>
      </rPr>
      <t xml:space="preserve">2.3 </t>
    </r>
    <r>
      <rPr>
        <sz val="9"/>
        <rFont val="Arial"/>
        <family val="2"/>
      </rPr>
      <t xml:space="preserve">  Flexible ducts in unconditioned space not installed in cavities smaller than outer duct diameter; in conditioned space not installed in cavities smaller than inner duct diameter</t>
    </r>
  </si>
  <si>
    <r>
      <rPr>
        <b/>
        <u/>
        <sz val="9"/>
        <rFont val="Arial"/>
        <family val="2"/>
      </rPr>
      <t>2.5</t>
    </r>
    <r>
      <rPr>
        <sz val="9"/>
        <rFont val="Arial"/>
        <family val="2"/>
      </rPr>
      <t xml:space="preserve">   Building cavities not used as supply or return ducts unless they meet Items 3.2, 3.3, 4.1, and 4.2 of this Checklist.</t>
    </r>
  </si>
  <si>
    <r>
      <rPr>
        <b/>
        <u/>
        <sz val="9"/>
        <rFont val="Arial"/>
        <family val="2"/>
      </rPr>
      <t>2.6</t>
    </r>
    <r>
      <rPr>
        <sz val="9"/>
        <rFont val="Arial"/>
        <family val="2"/>
      </rPr>
      <t xml:space="preserve">  HVAC ducts, cavities used as ducts, and combustion inlets and outlets may pass perpendicularly through exterior walls but shall not be run within exterior walls unless at least R-6 continuous insulation is provided on exterior side of the cavity, along with an interior and exterior air barrier where required by the Thermal Enclosure System Rater Checklist.</t>
    </r>
  </si>
  <si>
    <r>
      <rPr>
        <b/>
        <u/>
        <sz val="9"/>
        <rFont val="Arial"/>
        <family val="2"/>
      </rPr>
      <t>10.1</t>
    </r>
    <r>
      <rPr>
        <sz val="9"/>
        <rFont val="Arial"/>
        <family val="2"/>
      </rPr>
      <t xml:space="preserve">  Furnaces, boilers, and water heaters located within the home’s pressure boundary are mechanically drafted or direct vented. Exception, naturally drafted equipment is allowed in CZ's 1-3. For naturally drafted furnaces, boilers, and water heaters, the Rater has followed RESNET or BPI combustion safety test procedures and met the selected standard’s limits for depressurization, spillage, draft pressure, and CO concentration in ambient air, as well as a CO concentration in the flue of ≤ 25 ppm. </t>
    </r>
    <r>
      <rPr>
        <vertAlign val="subscript"/>
        <sz val="9"/>
        <rFont val="Arial"/>
        <family val="2"/>
      </rPr>
      <t>34,35,36</t>
    </r>
  </si>
  <si>
    <t>Front Faces</t>
  </si>
  <si>
    <t>Avgerage Wall Height</t>
  </si>
  <si>
    <t>n=</t>
  </si>
  <si>
    <t>3rd floor sqft</t>
  </si>
  <si>
    <r>
      <t>System</t>
    </r>
    <r>
      <rPr>
        <b/>
        <vertAlign val="subscript"/>
        <sz val="11"/>
        <color theme="1"/>
        <rFont val="Times New Roman"/>
        <family val="1"/>
      </rPr>
      <t>3</t>
    </r>
  </si>
  <si>
    <t>Area Sqft</t>
  </si>
  <si>
    <t>Comp. model no.</t>
  </si>
  <si>
    <r>
      <t>Qn</t>
    </r>
    <r>
      <rPr>
        <i/>
        <vertAlign val="subscript"/>
        <sz val="10"/>
        <color theme="1"/>
        <rFont val="Times New Roman"/>
        <family val="1"/>
      </rPr>
      <t>total</t>
    </r>
  </si>
  <si>
    <r>
      <t>Qn</t>
    </r>
    <r>
      <rPr>
        <i/>
        <vertAlign val="subscript"/>
        <sz val="10"/>
        <color theme="1"/>
        <rFont val="Times New Roman"/>
        <family val="1"/>
      </rPr>
      <t>out</t>
    </r>
  </si>
  <si>
    <t>System2</t>
  </si>
  <si>
    <t>Duct Leak</t>
  </si>
  <si>
    <r>
      <t>Qn</t>
    </r>
    <r>
      <rPr>
        <vertAlign val="subscript"/>
        <sz val="11"/>
        <rFont val="Times New Roman"/>
        <family val="1"/>
      </rPr>
      <t>Total</t>
    </r>
  </si>
  <si>
    <r>
      <t>Qn</t>
    </r>
    <r>
      <rPr>
        <vertAlign val="subscript"/>
        <sz val="11"/>
        <rFont val="Times New Roman"/>
        <family val="1"/>
      </rPr>
      <t xml:space="preserve">Total </t>
    </r>
  </si>
  <si>
    <r>
      <t>Qn</t>
    </r>
    <r>
      <rPr>
        <vertAlign val="subscript"/>
        <sz val="11"/>
        <color theme="1"/>
        <rFont val="Times New Roman"/>
        <family val="1"/>
      </rPr>
      <t>Out</t>
    </r>
  </si>
  <si>
    <t>System 3</t>
  </si>
  <si>
    <t>System 1</t>
  </si>
  <si>
    <t>System3</t>
  </si>
  <si>
    <t>Qn</t>
  </si>
  <si>
    <r>
      <t>CFM</t>
    </r>
    <r>
      <rPr>
        <b/>
        <i/>
        <vertAlign val="subscript"/>
        <sz val="10"/>
        <color theme="1"/>
        <rFont val="Times New Roman"/>
        <family val="1"/>
      </rPr>
      <t>25</t>
    </r>
  </si>
  <si>
    <r>
      <t xml:space="preserve">Compressor </t>
    </r>
    <r>
      <rPr>
        <b/>
        <i/>
        <vertAlign val="subscript"/>
        <sz val="10"/>
        <color theme="1"/>
        <rFont val="Times New Roman"/>
        <family val="1"/>
      </rPr>
      <t>3</t>
    </r>
  </si>
  <si>
    <r>
      <t xml:space="preserve">AirHandler </t>
    </r>
    <r>
      <rPr>
        <b/>
        <i/>
        <vertAlign val="subscript"/>
        <sz val="10"/>
        <color theme="1"/>
        <rFont val="Times New Roman"/>
        <family val="1"/>
      </rPr>
      <t>3</t>
    </r>
  </si>
  <si>
    <t>Envelope Leak</t>
  </si>
  <si>
    <t xml:space="preserve">  C</t>
  </si>
  <si>
    <t xml:space="preserve">  n        Pa</t>
  </si>
  <si>
    <t xml:space="preserve">  R     Flow</t>
  </si>
  <si>
    <r>
      <t>System</t>
    </r>
    <r>
      <rPr>
        <vertAlign val="subscript"/>
        <sz val="10"/>
        <color theme="1"/>
        <rFont val="Times New Roman"/>
        <family val="1"/>
      </rPr>
      <t>1</t>
    </r>
  </si>
  <si>
    <r>
      <t>System</t>
    </r>
    <r>
      <rPr>
        <vertAlign val="subscript"/>
        <sz val="10"/>
        <color theme="1"/>
        <rFont val="Times New Roman"/>
        <family val="1"/>
      </rPr>
      <t>2</t>
    </r>
  </si>
  <si>
    <r>
      <t>System</t>
    </r>
    <r>
      <rPr>
        <vertAlign val="subscript"/>
        <sz val="10"/>
        <color theme="1"/>
        <rFont val="Times New Roman"/>
        <family val="1"/>
      </rPr>
      <t>3</t>
    </r>
    <r>
      <rPr>
        <sz val="11"/>
        <color theme="1"/>
        <rFont val="Calibri"/>
        <family val="2"/>
        <scheme val="minor"/>
      </rPr>
      <t/>
    </r>
  </si>
  <si>
    <r>
      <t>Bed</t>
    </r>
    <r>
      <rPr>
        <vertAlign val="subscript"/>
        <sz val="10"/>
        <color theme="1"/>
        <rFont val="Times New Roman"/>
        <family val="1"/>
      </rPr>
      <t>1</t>
    </r>
  </si>
  <si>
    <r>
      <t>Bed</t>
    </r>
    <r>
      <rPr>
        <vertAlign val="subscript"/>
        <sz val="10"/>
        <color theme="1"/>
        <rFont val="Times New Roman"/>
        <family val="1"/>
      </rPr>
      <t>2</t>
    </r>
  </si>
  <si>
    <t>Statics</t>
  </si>
  <si>
    <r>
      <t>Bath</t>
    </r>
    <r>
      <rPr>
        <i/>
        <vertAlign val="subscript"/>
        <sz val="10"/>
        <color theme="1"/>
        <rFont val="Times New Roman"/>
        <family val="1"/>
      </rPr>
      <t>1</t>
    </r>
  </si>
  <si>
    <r>
      <t>Bath</t>
    </r>
    <r>
      <rPr>
        <i/>
        <vertAlign val="subscript"/>
        <sz val="10"/>
        <color theme="1"/>
        <rFont val="Times New Roman"/>
        <family val="1"/>
      </rPr>
      <t>2</t>
    </r>
  </si>
  <si>
    <r>
      <t>Bath</t>
    </r>
    <r>
      <rPr>
        <i/>
        <vertAlign val="subscript"/>
        <sz val="10"/>
        <color theme="1"/>
        <rFont val="Times New Roman"/>
        <family val="1"/>
      </rPr>
      <t>3</t>
    </r>
    <r>
      <rPr>
        <sz val="11"/>
        <color theme="1"/>
        <rFont val="Calibri"/>
        <family val="2"/>
        <scheme val="minor"/>
      </rPr>
      <t/>
    </r>
  </si>
  <si>
    <r>
      <t>Bath</t>
    </r>
    <r>
      <rPr>
        <i/>
        <vertAlign val="subscript"/>
        <sz val="10"/>
        <color theme="1"/>
        <rFont val="Times New Roman"/>
        <family val="1"/>
      </rPr>
      <t>4</t>
    </r>
    <r>
      <rPr>
        <sz val="11"/>
        <color theme="1"/>
        <rFont val="Calibri"/>
        <family val="2"/>
        <scheme val="minor"/>
      </rPr>
      <t/>
    </r>
  </si>
  <si>
    <r>
      <t>Bed</t>
    </r>
    <r>
      <rPr>
        <vertAlign val="subscript"/>
        <sz val="10"/>
        <color theme="1"/>
        <rFont val="Times New Roman"/>
        <family val="1"/>
      </rPr>
      <t>3</t>
    </r>
    <r>
      <rPr>
        <sz val="11"/>
        <color theme="1"/>
        <rFont val="Calibri"/>
        <family val="2"/>
        <scheme val="minor"/>
      </rPr>
      <t/>
    </r>
  </si>
  <si>
    <r>
      <t>Bed</t>
    </r>
    <r>
      <rPr>
        <vertAlign val="subscript"/>
        <sz val="10"/>
        <color theme="1"/>
        <rFont val="Times New Roman"/>
        <family val="1"/>
      </rPr>
      <t>4</t>
    </r>
    <r>
      <rPr>
        <sz val="11"/>
        <color theme="1"/>
        <rFont val="Calibri"/>
        <family val="2"/>
        <scheme val="minor"/>
      </rPr>
      <t/>
    </r>
  </si>
  <si>
    <r>
      <t>Bed</t>
    </r>
    <r>
      <rPr>
        <vertAlign val="subscript"/>
        <sz val="10"/>
        <color theme="1"/>
        <rFont val="Times New Roman"/>
        <family val="1"/>
      </rPr>
      <t>5</t>
    </r>
    <r>
      <rPr>
        <sz val="11"/>
        <color theme="1"/>
        <rFont val="Calibri"/>
        <family val="2"/>
        <scheme val="minor"/>
      </rPr>
      <t/>
    </r>
  </si>
  <si>
    <r>
      <t xml:space="preserve">    MUA</t>
    </r>
    <r>
      <rPr>
        <vertAlign val="subscript"/>
        <sz val="10"/>
        <color theme="1"/>
        <rFont val="Times New Roman"/>
        <family val="1"/>
      </rPr>
      <t xml:space="preserve">1 </t>
    </r>
  </si>
  <si>
    <r>
      <t xml:space="preserve">    MUA</t>
    </r>
    <r>
      <rPr>
        <vertAlign val="subscript"/>
        <sz val="10"/>
        <color theme="1"/>
        <rFont val="Times New Roman"/>
        <family val="1"/>
      </rPr>
      <t>2</t>
    </r>
    <r>
      <rPr>
        <sz val="10"/>
        <color theme="1"/>
        <rFont val="Times New Roman"/>
        <family val="1"/>
      </rPr>
      <t xml:space="preserve"> </t>
    </r>
  </si>
  <si>
    <r>
      <t>TESP</t>
    </r>
    <r>
      <rPr>
        <i/>
        <vertAlign val="subscript"/>
        <sz val="10"/>
        <color theme="1"/>
        <rFont val="Times New Roman"/>
        <family val="1"/>
      </rPr>
      <t>1</t>
    </r>
  </si>
  <si>
    <r>
      <t>TESP</t>
    </r>
    <r>
      <rPr>
        <i/>
        <vertAlign val="subscript"/>
        <sz val="10"/>
        <color theme="1"/>
        <rFont val="Times New Roman"/>
        <family val="1"/>
      </rPr>
      <t>2</t>
    </r>
  </si>
  <si>
    <r>
      <t>TESP</t>
    </r>
    <r>
      <rPr>
        <i/>
        <vertAlign val="subscript"/>
        <sz val="10"/>
        <color theme="1"/>
        <rFont val="Times New Roman"/>
        <family val="1"/>
      </rPr>
      <t>3</t>
    </r>
    <r>
      <rPr>
        <sz val="11"/>
        <color theme="1"/>
        <rFont val="Calibri"/>
        <family val="2"/>
        <scheme val="minor"/>
      </rPr>
      <t/>
    </r>
  </si>
  <si>
    <t xml:space="preserve">  Exhausts</t>
  </si>
  <si>
    <r>
      <t xml:space="preserve">   Bed Δ</t>
    </r>
    <r>
      <rPr>
        <b/>
        <i/>
        <sz val="11"/>
        <color rgb="FF0070C0"/>
        <rFont val="Times New Roman"/>
        <family val="1"/>
      </rPr>
      <t>Pa</t>
    </r>
  </si>
  <si>
    <t>Model No.</t>
  </si>
  <si>
    <t xml:space="preserve">                Ceiling fans  </t>
  </si>
  <si>
    <t xml:space="preserve">    Fluorescents/LED's</t>
  </si>
  <si>
    <r>
      <t xml:space="preserve">HVAC System Quality Installation Rater Checklist </t>
    </r>
    <r>
      <rPr>
        <b/>
        <vertAlign val="superscript"/>
        <sz val="11"/>
        <rFont val="Arial"/>
        <family val="2"/>
      </rPr>
      <t>1</t>
    </r>
  </si>
  <si>
    <t>Proj. Super</t>
  </si>
  <si>
    <t>E3 Building Sciences</t>
  </si>
  <si>
    <t>Project Supervisor</t>
  </si>
  <si>
    <t>Proj./Comm.</t>
  </si>
  <si>
    <t>FINAL</t>
  </si>
  <si>
    <t>PASS</t>
  </si>
  <si>
    <t>electricity</t>
  </si>
  <si>
    <t>interior</t>
  </si>
  <si>
    <t>NA</t>
  </si>
  <si>
    <t>RE340T6</t>
  </si>
  <si>
    <t>storage</t>
  </si>
  <si>
    <t>Multifamily</t>
  </si>
  <si>
    <t>Whirlpool</t>
  </si>
  <si>
    <t>other</t>
  </si>
  <si>
    <t>WRT138</t>
  </si>
  <si>
    <t>na</t>
  </si>
  <si>
    <t>bradford white</t>
  </si>
  <si>
    <t>no</t>
  </si>
  <si>
    <t>S</t>
  </si>
  <si>
    <t>ok</t>
  </si>
  <si>
    <t>2.11.18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</si>
</sst>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
    <numFmt numFmtId="167" formatCode="0.0000000"/>
    <numFmt numFmtId="168" formatCode="m/d/yy;@"/>
  </numFmts>
  <fonts count="59" x14ac:knownFonts="1">
    <font>
      <sz val="11"/>
      <color theme="1"/>
      <name val="Calibri"/>
      <family val="2"/>
      <scheme val="minor"/>
    </font>
    <font>
      <b/>
      <sz val="11"/>
      <name val="Times New Roman"/>
      <family val="1"/>
    </font>
    <font>
      <b/>
      <sz val="11"/>
      <color theme="1"/>
      <name val="Times New Roman"/>
      <family val="1"/>
    </font>
    <font>
      <b/>
      <i/>
      <sz val="9"/>
      <color theme="1"/>
      <name val="Times New Roman"/>
      <family val="1"/>
    </font>
    <font>
      <sz val="11"/>
      <color theme="1"/>
      <name val="Times New Roman"/>
      <family val="1"/>
    </font>
    <font>
      <b/>
      <i/>
      <sz val="10"/>
      <color theme="1"/>
      <name val="Times New Roman"/>
      <family val="1"/>
    </font>
    <font>
      <i/>
      <sz val="9"/>
      <color theme="1"/>
      <name val="Times New Roman"/>
      <family val="1"/>
    </font>
    <font>
      <sz val="11"/>
      <name val="Times New Roman"/>
      <family val="1"/>
    </font>
    <font>
      <sz val="11"/>
      <name val="Calibri"/>
      <family val="2"/>
      <scheme val="minor"/>
    </font>
    <font>
      <sz val="10"/>
      <color theme="1"/>
      <name val="Calibri"/>
      <family val="2"/>
      <scheme val="minor"/>
    </font>
    <font>
      <sz val="9"/>
      <color theme="1"/>
      <name val="Times New Roman"/>
      <family val="1"/>
    </font>
    <font>
      <b/>
      <vertAlign val="subscript"/>
      <sz val="11"/>
      <color theme="1"/>
      <name val="Times New Roman"/>
      <family val="1"/>
    </font>
    <font>
      <vertAlign val="subscript"/>
      <sz val="11"/>
      <color theme="1"/>
      <name val="Times New Roman"/>
      <family val="1"/>
    </font>
    <font>
      <sz val="10"/>
      <color theme="1"/>
      <name val="Times New Roman"/>
      <family val="1"/>
    </font>
    <font>
      <b/>
      <sz val="10"/>
      <color theme="1"/>
      <name val="Times New Roman"/>
      <family val="1"/>
    </font>
    <font>
      <b/>
      <sz val="10"/>
      <color theme="1"/>
      <name val="Calibri"/>
      <family val="2"/>
      <scheme val="minor"/>
    </font>
    <font>
      <b/>
      <i/>
      <vertAlign val="subscript"/>
      <sz val="10"/>
      <color theme="1"/>
      <name val="Times New Roman"/>
      <family val="1"/>
    </font>
    <font>
      <b/>
      <sz val="10"/>
      <color rgb="FF0070C0"/>
      <name val="Times New Roman"/>
      <family val="1"/>
    </font>
    <font>
      <sz val="10"/>
      <name val="Times New Roman"/>
      <family val="1"/>
    </font>
    <font>
      <b/>
      <sz val="11"/>
      <color rgb="FF0070C0"/>
      <name val="Times New Roman"/>
      <family val="1"/>
    </font>
    <font>
      <b/>
      <sz val="14"/>
      <color theme="1"/>
      <name val="Times New Roman"/>
      <family val="1"/>
    </font>
    <font>
      <b/>
      <i/>
      <sz val="10"/>
      <name val="Times New Roman"/>
      <family val="1"/>
    </font>
    <font>
      <b/>
      <sz val="11"/>
      <color rgb="FF0070C0"/>
      <name val="Calibri"/>
      <family val="2"/>
      <scheme val="minor"/>
    </font>
    <font>
      <b/>
      <sz val="11"/>
      <color theme="1"/>
      <name val="Calibri"/>
      <family val="2"/>
      <scheme val="minor"/>
    </font>
    <font>
      <b/>
      <sz val="11"/>
      <color rgb="FFFF0000"/>
      <name val="Times New Roman"/>
      <family val="1"/>
    </font>
    <font>
      <sz val="11"/>
      <color rgb="FFC00000"/>
      <name val="Times New Roman"/>
      <family val="1"/>
    </font>
    <font>
      <b/>
      <sz val="11"/>
      <color rgb="FFC00000"/>
      <name val="Times New Roman"/>
      <family val="1"/>
    </font>
    <font>
      <sz val="11"/>
      <color rgb="FFC00000"/>
      <name val="Calibri"/>
      <family val="2"/>
      <scheme val="minor"/>
    </font>
    <font>
      <b/>
      <sz val="11"/>
      <color rgb="FFC00000"/>
      <name val="Calibri"/>
      <family val="2"/>
      <scheme val="minor"/>
    </font>
    <font>
      <b/>
      <sz val="10"/>
      <color rgb="FFC00000"/>
      <name val="Calibri"/>
      <family val="2"/>
      <scheme val="minor"/>
    </font>
    <font>
      <sz val="12"/>
      <name val="Arial"/>
      <family val="2"/>
    </font>
    <font>
      <sz val="12"/>
      <color rgb="FF000000"/>
      <name val="Arial"/>
      <family val="2"/>
    </font>
    <font>
      <b/>
      <sz val="9"/>
      <name val="Arial"/>
      <family val="2"/>
    </font>
    <font>
      <sz val="6"/>
      <name val="Arial"/>
      <family val="2"/>
    </font>
    <font>
      <b/>
      <sz val="8"/>
      <name val="Arial"/>
      <family val="2"/>
    </font>
    <font>
      <sz val="9"/>
      <name val="Arial"/>
      <family val="2"/>
    </font>
    <font>
      <b/>
      <sz val="12"/>
      <name val="Times New Roman"/>
      <family val="1"/>
    </font>
    <font>
      <i/>
      <sz val="9"/>
      <name val="Arial"/>
      <family val="2"/>
    </font>
    <font>
      <i/>
      <sz val="6"/>
      <name val="Arial"/>
      <family val="2"/>
    </font>
    <font>
      <u/>
      <sz val="9"/>
      <name val="Arial"/>
      <family val="2"/>
    </font>
    <font>
      <sz val="10"/>
      <color rgb="FF000000"/>
      <name val="Times New Roman"/>
      <family val="1"/>
    </font>
    <font>
      <b/>
      <u/>
      <sz val="9"/>
      <name val="Arial"/>
      <family val="2"/>
    </font>
    <font>
      <vertAlign val="subscript"/>
      <sz val="9"/>
      <name val="Arial"/>
      <family val="2"/>
    </font>
    <font>
      <sz val="10"/>
      <name val="Arial"/>
      <family val="2"/>
    </font>
    <font>
      <sz val="9"/>
      <color rgb="FF000000"/>
      <name val="Times New Roman"/>
      <family val="1"/>
    </font>
    <font>
      <b/>
      <sz val="5"/>
      <name val="Arial"/>
      <family val="2"/>
    </font>
    <font>
      <b/>
      <sz val="10"/>
      <name val="Times New Roman"/>
      <family val="1"/>
    </font>
    <font>
      <b/>
      <u/>
      <sz val="10"/>
      <color rgb="FF000000"/>
      <name val="Times New Roman"/>
      <family val="1"/>
    </font>
    <font>
      <sz val="9"/>
      <name val="Calibri"/>
      <family val="2"/>
    </font>
    <font>
      <b/>
      <u/>
      <sz val="10"/>
      <name val="Arial"/>
      <family val="2"/>
    </font>
    <font>
      <b/>
      <u/>
      <sz val="6"/>
      <name val="Arial"/>
      <family val="2"/>
    </font>
    <font>
      <sz val="14"/>
      <name val="Arial"/>
      <family val="2"/>
    </font>
    <font>
      <i/>
      <sz val="10"/>
      <color theme="1"/>
      <name val="Times New Roman"/>
      <family val="1"/>
    </font>
    <font>
      <i/>
      <vertAlign val="subscript"/>
      <sz val="10"/>
      <color theme="1"/>
      <name val="Times New Roman"/>
      <family val="1"/>
    </font>
    <font>
      <vertAlign val="subscript"/>
      <sz val="11"/>
      <name val="Times New Roman"/>
      <family val="1"/>
    </font>
    <font>
      <vertAlign val="subscript"/>
      <sz val="10"/>
      <color theme="1"/>
      <name val="Times New Roman"/>
      <family val="1"/>
    </font>
    <font>
      <b/>
      <i/>
      <sz val="11"/>
      <color rgb="FF0070C0"/>
      <name val="Times New Roman"/>
      <family val="1"/>
    </font>
    <font>
      <sz val="14"/>
      <color theme="1"/>
      <name val="Arial"/>
      <family val="2"/>
    </font>
    <font>
      <b/>
      <vertAlign val="superscript"/>
      <sz val="11"/>
      <name val="Arial"/>
      <family val="2"/>
    </font>
  </fonts>
  <fills count="10">
    <fill>
      <patternFill patternType="none"/>
    </fill>
    <fill>
      <patternFill patternType="gray125"/>
    </fill>
    <fill>
      <patternFill patternType="solid">
        <fgColor theme="6" tint="0.59999389629810485"/>
        <bgColor indexed="64"/>
      </patternFill>
    </fill>
    <fill>
      <patternFill patternType="solid">
        <fgColor theme="0"/>
        <bgColor indexed="64"/>
      </patternFill>
    </fill>
    <fill>
      <patternFill patternType="solid">
        <fgColor rgb="FFD7E4BC"/>
        <bgColor indexed="64"/>
      </patternFill>
    </fill>
    <fill>
      <patternFill patternType="solid">
        <fgColor theme="0" tint="-0.249977111117893"/>
        <bgColor indexed="64"/>
      </patternFill>
    </fill>
    <fill>
      <patternFill patternType="solid">
        <fgColor theme="6" tint="-0.249977111117893"/>
        <bgColor indexed="64"/>
      </patternFill>
    </fill>
    <fill>
      <patternFill patternType="solid">
        <fgColor rgb="FFE1E1E1"/>
      </patternFill>
    </fill>
    <fill>
      <patternFill patternType="solid">
        <fgColor rgb="FFDADADA"/>
      </patternFill>
    </fill>
    <fill>
      <patternFill patternType="solid">
        <fgColor theme="0" tint="-0.14999847407452621"/>
        <bgColor indexed="64"/>
      </patternFill>
    </fill>
  </fills>
  <borders count="7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style="thin">
        <color indexed="64"/>
      </top>
      <bottom style="medium">
        <color indexed="64"/>
      </bottom>
      <diagonal/>
    </border>
    <border>
      <left style="medium">
        <color indexed="64"/>
      </left>
      <right/>
      <top/>
      <bottom/>
      <diagonal/>
    </border>
    <border>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style="thin">
        <color rgb="FFDADADA"/>
      </top>
      <bottom style="thin">
        <color rgb="FF000000"/>
      </bottom>
      <diagonal/>
    </border>
    <border>
      <left style="thin">
        <color rgb="FF000000"/>
      </left>
      <right/>
      <top/>
      <bottom/>
      <diagonal/>
    </border>
    <border>
      <left style="thin">
        <color rgb="FF000000"/>
      </left>
      <right style="thin">
        <color rgb="FF000000"/>
      </right>
      <top/>
      <bottom style="thin">
        <color rgb="FF000000"/>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s>
  <cellStyleXfs count="1">
    <xf numFmtId="0" fontId="0" fillId="0" borderId="0"/>
  </cellStyleXfs>
  <cellXfs count="509">
    <xf numFmtId="0" fontId="0" fillId="0" borderId="0" xfId="0"/>
    <xf numFmtId="0" fontId="4" fillId="0" borderId="0" xfId="0" applyFont="1"/>
    <xf numFmtId="0" fontId="0" fillId="0" borderId="0" xfId="0" applyProtection="1"/>
    <xf numFmtId="0" fontId="0" fillId="0" borderId="0" xfId="0" applyBorder="1" applyProtection="1"/>
    <xf numFmtId="0" fontId="0" fillId="2" borderId="24" xfId="0" applyFill="1" applyBorder="1" applyProtection="1"/>
    <xf numFmtId="0" fontId="2" fillId="2" borderId="0" xfId="0" applyFont="1" applyFill="1" applyBorder="1" applyAlignment="1" applyProtection="1">
      <alignment horizontal="center"/>
    </xf>
    <xf numFmtId="0" fontId="0" fillId="2" borderId="19" xfId="0" applyFill="1" applyBorder="1" applyProtection="1"/>
    <xf numFmtId="0" fontId="1" fillId="2" borderId="24" xfId="0" applyFont="1" applyFill="1" applyBorder="1" applyProtection="1"/>
    <xf numFmtId="0" fontId="0" fillId="2" borderId="0" xfId="0" applyFill="1" applyBorder="1" applyProtection="1"/>
    <xf numFmtId="165" fontId="2" fillId="2" borderId="0" xfId="0" applyNumberFormat="1" applyFont="1" applyFill="1" applyBorder="1" applyProtection="1"/>
    <xf numFmtId="0" fontId="0" fillId="0" borderId="0" xfId="0" applyFill="1" applyBorder="1" applyProtection="1"/>
    <xf numFmtId="0" fontId="10" fillId="0" borderId="0" xfId="0" applyFont="1" applyAlignment="1">
      <alignment horizontal="right"/>
    </xf>
    <xf numFmtId="0" fontId="9" fillId="0" borderId="0" xfId="0" applyFont="1"/>
    <xf numFmtId="0" fontId="13" fillId="0" borderId="0" xfId="0" applyFont="1"/>
    <xf numFmtId="0" fontId="13" fillId="0" borderId="0" xfId="0" applyFont="1" applyAlignment="1">
      <alignment horizontal="center"/>
    </xf>
    <xf numFmtId="0" fontId="13" fillId="0" borderId="0" xfId="0" applyFont="1" applyBorder="1" applyAlignment="1">
      <alignment horizontal="center"/>
    </xf>
    <xf numFmtId="0" fontId="13" fillId="0" borderId="10" xfId="0" applyFont="1" applyBorder="1" applyAlignment="1">
      <alignment horizontal="center"/>
    </xf>
    <xf numFmtId="0" fontId="13" fillId="0" borderId="14" xfId="0" applyFont="1" applyBorder="1" applyAlignment="1">
      <alignment horizontal="center"/>
    </xf>
    <xf numFmtId="0" fontId="15" fillId="0" borderId="0" xfId="0" applyFont="1" applyAlignment="1">
      <alignment vertical="top"/>
    </xf>
    <xf numFmtId="0" fontId="5" fillId="0" borderId="5" xfId="0" applyFont="1" applyBorder="1" applyAlignment="1">
      <alignment horizontal="center"/>
    </xf>
    <xf numFmtId="0" fontId="5" fillId="0" borderId="4" xfId="0" applyFont="1" applyBorder="1" applyAlignment="1">
      <alignment horizontal="center"/>
    </xf>
    <xf numFmtId="0" fontId="5" fillId="0" borderId="8" xfId="0" applyFont="1" applyBorder="1" applyAlignment="1">
      <alignment horizontal="center"/>
    </xf>
    <xf numFmtId="0" fontId="5" fillId="0" borderId="0" xfId="0" applyFont="1" applyBorder="1" applyAlignment="1">
      <alignment horizontal="center"/>
    </xf>
    <xf numFmtId="0" fontId="5" fillId="0" borderId="0" xfId="0" applyFont="1" applyAlignment="1">
      <alignment horizontal="center"/>
    </xf>
    <xf numFmtId="0" fontId="5" fillId="0" borderId="1" xfId="0" applyFont="1" applyBorder="1" applyAlignment="1">
      <alignment horizontal="center" vertical="top"/>
    </xf>
    <xf numFmtId="0" fontId="5" fillId="0" borderId="1" xfId="0" applyFont="1" applyBorder="1" applyAlignment="1">
      <alignment horizontal="center"/>
    </xf>
    <xf numFmtId="0" fontId="5" fillId="0" borderId="1" xfId="0" applyFont="1" applyFill="1" applyBorder="1" applyAlignment="1">
      <alignment horizontal="center"/>
    </xf>
    <xf numFmtId="166" fontId="13" fillId="0" borderId="13" xfId="0" applyNumberFormat="1" applyFont="1" applyBorder="1" applyAlignment="1">
      <alignment horizontal="center"/>
    </xf>
    <xf numFmtId="165" fontId="13" fillId="0" borderId="28" xfId="0" applyNumberFormat="1" applyFont="1" applyBorder="1" applyAlignment="1">
      <alignment horizontal="center"/>
    </xf>
    <xf numFmtId="0" fontId="13" fillId="0" borderId="1" xfId="0" applyFont="1" applyBorder="1" applyAlignment="1">
      <alignment horizontal="center"/>
    </xf>
    <xf numFmtId="2" fontId="13" fillId="3" borderId="14" xfId="0" applyNumberFormat="1" applyFont="1" applyFill="1" applyBorder="1" applyAlignment="1">
      <alignment horizontal="center"/>
    </xf>
    <xf numFmtId="0" fontId="18" fillId="0" borderId="0" xfId="0" applyFont="1" applyBorder="1" applyAlignment="1">
      <alignment horizontal="center"/>
    </xf>
    <xf numFmtId="0" fontId="18" fillId="3" borderId="0" xfId="0" applyFont="1" applyFill="1" applyBorder="1" applyAlignment="1">
      <alignment horizontal="center"/>
    </xf>
    <xf numFmtId="0" fontId="13" fillId="5" borderId="3" xfId="0" applyFont="1" applyFill="1" applyBorder="1" applyAlignment="1">
      <alignment horizontal="center"/>
    </xf>
    <xf numFmtId="0" fontId="5" fillId="0" borderId="2" xfId="0" applyFont="1" applyBorder="1" applyAlignment="1">
      <alignment horizontal="center"/>
    </xf>
    <xf numFmtId="0" fontId="18" fillId="0" borderId="10" xfId="0" applyFont="1" applyBorder="1" applyAlignment="1">
      <alignment horizontal="center"/>
    </xf>
    <xf numFmtId="0" fontId="18" fillId="3" borderId="3" xfId="0" applyFont="1" applyFill="1" applyBorder="1" applyAlignment="1">
      <alignment horizontal="center"/>
    </xf>
    <xf numFmtId="0" fontId="13" fillId="5" borderId="10" xfId="0" applyFont="1" applyFill="1" applyBorder="1" applyAlignment="1">
      <alignment horizontal="center"/>
    </xf>
    <xf numFmtId="0" fontId="0" fillId="0" borderId="2" xfId="0" applyBorder="1"/>
    <xf numFmtId="0" fontId="5" fillId="0" borderId="10" xfId="0" applyFont="1" applyBorder="1" applyAlignment="1">
      <alignment horizontal="center"/>
    </xf>
    <xf numFmtId="0" fontId="18" fillId="3" borderId="10" xfId="0" applyFont="1" applyFill="1" applyBorder="1" applyAlignment="1">
      <alignment horizontal="center"/>
    </xf>
    <xf numFmtId="0" fontId="5" fillId="0" borderId="10" xfId="0" applyFont="1" applyFill="1" applyBorder="1" applyAlignment="1">
      <alignment horizontal="center"/>
    </xf>
    <xf numFmtId="0" fontId="0" fillId="5" borderId="10" xfId="0" applyFill="1" applyBorder="1"/>
    <xf numFmtId="0" fontId="5" fillId="0" borderId="3" xfId="0" applyFont="1" applyBorder="1" applyAlignment="1">
      <alignment horizontal="center"/>
    </xf>
    <xf numFmtId="0" fontId="5" fillId="0" borderId="2" xfId="0" applyFont="1" applyBorder="1" applyAlignment="1">
      <alignment horizontal="left"/>
    </xf>
    <xf numFmtId="0" fontId="17" fillId="0" borderId="0" xfId="0" applyFont="1" applyAlignment="1">
      <alignment horizontal="center"/>
    </xf>
    <xf numFmtId="0" fontId="19" fillId="0" borderId="0" xfId="0" applyFont="1" applyAlignment="1">
      <alignment horizontal="center"/>
    </xf>
    <xf numFmtId="0" fontId="4" fillId="4" borderId="1" xfId="0" applyFont="1" applyFill="1" applyBorder="1" applyAlignment="1" applyProtection="1">
      <alignment horizontal="center"/>
      <protection locked="0"/>
    </xf>
    <xf numFmtId="2" fontId="4" fillId="4" borderId="1" xfId="0" applyNumberFormat="1" applyFont="1" applyFill="1" applyBorder="1" applyAlignment="1" applyProtection="1">
      <alignment horizontal="center"/>
      <protection locked="0"/>
    </xf>
    <xf numFmtId="2" fontId="4" fillId="4" borderId="13" xfId="0" applyNumberFormat="1" applyFont="1" applyFill="1" applyBorder="1" applyAlignment="1" applyProtection="1">
      <alignment horizontal="center"/>
      <protection locked="0"/>
    </xf>
    <xf numFmtId="0" fontId="0" fillId="2" borderId="0" xfId="0" applyFill="1" applyBorder="1" applyAlignment="1">
      <alignment horizontal="left" vertical="top" wrapText="1"/>
    </xf>
    <xf numFmtId="0" fontId="13" fillId="4" borderId="0" xfId="0" applyFont="1" applyFill="1" applyBorder="1" applyAlignment="1">
      <alignment horizontal="left" vertical="top" wrapText="1"/>
    </xf>
    <xf numFmtId="0" fontId="13" fillId="0" borderId="26" xfId="0" applyFont="1" applyBorder="1" applyAlignment="1">
      <alignment horizontal="center"/>
    </xf>
    <xf numFmtId="0" fontId="0" fillId="0" borderId="0" xfId="0" applyBorder="1"/>
    <xf numFmtId="0" fontId="2" fillId="4" borderId="37" xfId="0" applyFont="1" applyFill="1" applyBorder="1" applyAlignment="1">
      <alignment vertical="center"/>
    </xf>
    <xf numFmtId="0" fontId="1" fillId="2" borderId="34" xfId="0" applyFont="1" applyFill="1" applyBorder="1" applyAlignment="1">
      <alignment vertical="center"/>
    </xf>
    <xf numFmtId="0" fontId="1" fillId="2" borderId="33" xfId="0" applyFont="1" applyFill="1" applyBorder="1" applyAlignment="1">
      <alignment vertical="center"/>
    </xf>
    <xf numFmtId="0" fontId="4" fillId="4" borderId="2" xfId="0" applyFont="1" applyFill="1" applyBorder="1"/>
    <xf numFmtId="0" fontId="10" fillId="0" borderId="27" xfId="0" applyFont="1" applyBorder="1" applyAlignment="1">
      <alignment horizontal="center"/>
    </xf>
    <xf numFmtId="0" fontId="6" fillId="0" borderId="27" xfId="0" applyFont="1" applyBorder="1" applyAlignment="1">
      <alignment horizontal="center"/>
    </xf>
    <xf numFmtId="0" fontId="10" fillId="0" borderId="27" xfId="0" applyFont="1" applyFill="1" applyBorder="1" applyAlignment="1">
      <alignment horizontal="center"/>
    </xf>
    <xf numFmtId="0" fontId="10" fillId="0" borderId="0" xfId="0" applyFont="1" applyAlignment="1">
      <alignment horizontal="center"/>
    </xf>
    <xf numFmtId="0" fontId="10" fillId="0" borderId="0" xfId="0" applyFont="1"/>
    <xf numFmtId="0" fontId="10" fillId="0" borderId="12" xfId="0" applyFont="1" applyBorder="1" applyAlignment="1">
      <alignment horizontal="center"/>
    </xf>
    <xf numFmtId="167" fontId="10" fillId="0" borderId="12" xfId="0" applyNumberFormat="1" applyFont="1" applyBorder="1"/>
    <xf numFmtId="0" fontId="10" fillId="0" borderId="12" xfId="0" applyFont="1" applyBorder="1"/>
    <xf numFmtId="0" fontId="14" fillId="0" borderId="0" xfId="0" applyFont="1" applyAlignment="1">
      <alignment horizontal="center"/>
    </xf>
    <xf numFmtId="2" fontId="10" fillId="0" borderId="0" xfId="0" applyNumberFormat="1" applyFont="1" applyAlignment="1">
      <alignment horizontal="center"/>
    </xf>
    <xf numFmtId="167" fontId="10" fillId="0" borderId="0" xfId="0" applyNumberFormat="1" applyFont="1" applyAlignment="1">
      <alignment horizontal="center"/>
    </xf>
    <xf numFmtId="0" fontId="24" fillId="0" borderId="0" xfId="0" applyFont="1" applyAlignment="1"/>
    <xf numFmtId="0" fontId="24" fillId="0" borderId="0" xfId="0" applyFont="1" applyBorder="1" applyAlignment="1"/>
    <xf numFmtId="0" fontId="0" fillId="2" borderId="24" xfId="0" applyFill="1" applyBorder="1" applyAlignment="1">
      <alignment horizontal="left" vertical="top" wrapText="1"/>
    </xf>
    <xf numFmtId="0" fontId="0" fillId="2" borderId="19" xfId="0" applyFill="1" applyBorder="1" applyAlignment="1">
      <alignment horizontal="left" vertical="top" wrapText="1"/>
    </xf>
    <xf numFmtId="0" fontId="0" fillId="2" borderId="24" xfId="0" applyFill="1" applyBorder="1"/>
    <xf numFmtId="0" fontId="0" fillId="2" borderId="0" xfId="0" applyFill="1" applyBorder="1"/>
    <xf numFmtId="0" fontId="0" fillId="2" borderId="19" xfId="0" applyFill="1" applyBorder="1"/>
    <xf numFmtId="0" fontId="13" fillId="4" borderId="24" xfId="0" applyFont="1" applyFill="1" applyBorder="1" applyAlignment="1">
      <alignment horizontal="left" vertical="top" wrapText="1"/>
    </xf>
    <xf numFmtId="0" fontId="13" fillId="4" borderId="19" xfId="0" applyFont="1" applyFill="1" applyBorder="1" applyAlignment="1">
      <alignment horizontal="left" vertical="top" wrapText="1"/>
    </xf>
    <xf numFmtId="0" fontId="2" fillId="2" borderId="18" xfId="0" applyFont="1" applyFill="1" applyBorder="1"/>
    <xf numFmtId="0" fontId="4" fillId="4" borderId="30" xfId="0" applyFont="1" applyFill="1" applyBorder="1"/>
    <xf numFmtId="0" fontId="4" fillId="4" borderId="31" xfId="0" applyFont="1" applyFill="1" applyBorder="1"/>
    <xf numFmtId="0" fontId="4" fillId="4" borderId="33" xfId="0" applyFont="1" applyFill="1" applyBorder="1"/>
    <xf numFmtId="0" fontId="4" fillId="4" borderId="24" xfId="0" applyFont="1" applyFill="1" applyBorder="1"/>
    <xf numFmtId="0" fontId="2" fillId="4" borderId="0" xfId="0" applyFont="1" applyFill="1" applyBorder="1" applyAlignment="1">
      <alignment horizontal="center"/>
    </xf>
    <xf numFmtId="0" fontId="2" fillId="4" borderId="19" xfId="0" applyFont="1" applyFill="1" applyBorder="1" applyAlignment="1">
      <alignment horizontal="center"/>
    </xf>
    <xf numFmtId="0" fontId="4" fillId="4" borderId="20" xfId="0" applyFont="1" applyFill="1" applyBorder="1" applyAlignment="1" applyProtection="1">
      <alignment horizontal="center"/>
      <protection locked="0"/>
    </xf>
    <xf numFmtId="0" fontId="0" fillId="4" borderId="19" xfId="0" applyFill="1" applyBorder="1"/>
    <xf numFmtId="0" fontId="26" fillId="0" borderId="0" xfId="0" applyFont="1" applyAlignment="1"/>
    <xf numFmtId="0" fontId="14" fillId="2" borderId="0" xfId="0" applyFont="1" applyFill="1" applyBorder="1" applyAlignment="1" applyProtection="1">
      <alignment horizontal="center"/>
    </xf>
    <xf numFmtId="0" fontId="13" fillId="2" borderId="1" xfId="0" applyFont="1" applyFill="1" applyBorder="1" applyAlignment="1" applyProtection="1">
      <alignment horizontal="center"/>
      <protection locked="0"/>
    </xf>
    <xf numFmtId="0" fontId="13" fillId="2" borderId="20" xfId="0" applyFont="1" applyFill="1" applyBorder="1" applyAlignment="1" applyProtection="1">
      <alignment horizontal="center"/>
      <protection locked="0"/>
    </xf>
    <xf numFmtId="0" fontId="13" fillId="6" borderId="0" xfId="0" applyFont="1" applyFill="1" applyBorder="1"/>
    <xf numFmtId="0" fontId="13" fillId="6" borderId="0" xfId="0" applyFont="1" applyFill="1" applyBorder="1" applyProtection="1"/>
    <xf numFmtId="0" fontId="13" fillId="2" borderId="3" xfId="0" applyFont="1" applyFill="1" applyBorder="1" applyAlignment="1" applyProtection="1">
      <alignment horizontal="center"/>
      <protection locked="0"/>
    </xf>
    <xf numFmtId="0" fontId="13" fillId="4" borderId="1" xfId="0" applyFont="1" applyFill="1" applyBorder="1" applyAlignment="1" applyProtection="1">
      <alignment horizontal="center"/>
      <protection locked="0"/>
    </xf>
    <xf numFmtId="0" fontId="13" fillId="2" borderId="15" xfId="0" applyFont="1" applyFill="1" applyBorder="1"/>
    <xf numFmtId="0" fontId="14" fillId="2" borderId="16" xfId="0" applyFont="1" applyFill="1" applyBorder="1" applyAlignment="1">
      <alignment horizontal="center"/>
    </xf>
    <xf numFmtId="0" fontId="14" fillId="2" borderId="17" xfId="0" applyFont="1" applyFill="1" applyBorder="1" applyAlignment="1">
      <alignment horizontal="center"/>
    </xf>
    <xf numFmtId="0" fontId="14" fillId="2" borderId="24" xfId="0" applyFont="1" applyFill="1" applyBorder="1" applyAlignment="1">
      <alignment horizontal="left"/>
    </xf>
    <xf numFmtId="0" fontId="13" fillId="6" borderId="19" xfId="0" applyFont="1" applyFill="1" applyBorder="1" applyAlignment="1" applyProtection="1">
      <alignment horizontal="center"/>
    </xf>
    <xf numFmtId="0" fontId="13" fillId="6" borderId="19" xfId="0" applyFont="1" applyFill="1" applyBorder="1" applyProtection="1"/>
    <xf numFmtId="0" fontId="13" fillId="2" borderId="0" xfId="0" applyFont="1" applyFill="1" applyBorder="1" applyProtection="1"/>
    <xf numFmtId="0" fontId="13" fillId="2" borderId="0" xfId="0" applyFont="1" applyFill="1" applyBorder="1" applyAlignment="1" applyProtection="1">
      <alignment horizontal="center" vertical="center"/>
    </xf>
    <xf numFmtId="0" fontId="13" fillId="2" borderId="0" xfId="0" applyFont="1" applyFill="1" applyBorder="1"/>
    <xf numFmtId="0" fontId="13" fillId="2" borderId="24" xfId="0" applyFont="1" applyFill="1" applyBorder="1" applyAlignment="1">
      <alignment horizontal="left"/>
    </xf>
    <xf numFmtId="0" fontId="14" fillId="2" borderId="0" xfId="0" applyFont="1" applyFill="1" applyBorder="1" applyAlignment="1">
      <alignment horizontal="center"/>
    </xf>
    <xf numFmtId="0" fontId="13" fillId="4" borderId="0" xfId="0" applyFont="1" applyFill="1" applyBorder="1" applyProtection="1"/>
    <xf numFmtId="0" fontId="13" fillId="2" borderId="0" xfId="0" applyFont="1" applyFill="1" applyBorder="1" applyAlignment="1" applyProtection="1">
      <alignment horizontal="center"/>
    </xf>
    <xf numFmtId="0" fontId="14" fillId="2" borderId="0" xfId="0" applyFont="1" applyFill="1" applyBorder="1" applyAlignment="1" applyProtection="1">
      <alignment horizontal="left"/>
    </xf>
    <xf numFmtId="0" fontId="13" fillId="2" borderId="24" xfId="0" applyFont="1" applyFill="1" applyBorder="1" applyAlignment="1">
      <alignment horizontal="center"/>
    </xf>
    <xf numFmtId="0" fontId="13" fillId="2" borderId="13" xfId="0" applyFont="1" applyFill="1" applyBorder="1" applyAlignment="1" applyProtection="1">
      <alignment horizontal="center"/>
      <protection locked="0"/>
    </xf>
    <xf numFmtId="0" fontId="1" fillId="2" borderId="24" xfId="0" applyFont="1" applyFill="1" applyBorder="1" applyAlignment="1">
      <alignment vertical="center"/>
    </xf>
    <xf numFmtId="0" fontId="7" fillId="2" borderId="0" xfId="0" applyFont="1" applyFill="1" applyBorder="1" applyAlignment="1">
      <alignment horizontal="center" vertical="center"/>
    </xf>
    <xf numFmtId="0" fontId="2" fillId="4" borderId="0" xfId="0" applyFont="1" applyFill="1" applyBorder="1" applyAlignment="1">
      <alignment vertical="center"/>
    </xf>
    <xf numFmtId="0" fontId="4" fillId="2" borderId="0" xfId="0" applyFont="1" applyFill="1" applyBorder="1" applyAlignment="1" applyProtection="1">
      <alignment horizontal="center" vertical="center"/>
      <protection locked="0"/>
    </xf>
    <xf numFmtId="0" fontId="4" fillId="2" borderId="19" xfId="0" applyFont="1" applyFill="1" applyBorder="1" applyAlignment="1" applyProtection="1">
      <alignment horizontal="center" vertical="center"/>
      <protection locked="0"/>
    </xf>
    <xf numFmtId="2" fontId="7" fillId="2" borderId="16" xfId="0" applyNumberFormat="1" applyFont="1" applyFill="1" applyBorder="1" applyAlignment="1">
      <alignment horizontal="center" vertical="center"/>
    </xf>
    <xf numFmtId="0" fontId="4" fillId="2" borderId="16" xfId="0" applyFont="1" applyFill="1" applyBorder="1" applyAlignment="1" applyProtection="1">
      <alignment horizontal="center" vertical="center"/>
      <protection locked="0"/>
    </xf>
    <xf numFmtId="0" fontId="4" fillId="2" borderId="17" xfId="0" applyFont="1" applyFill="1" applyBorder="1" applyAlignment="1" applyProtection="1">
      <alignment horizontal="center" vertical="center"/>
      <protection locked="0"/>
    </xf>
    <xf numFmtId="0" fontId="7" fillId="2" borderId="16" xfId="0" applyFont="1" applyFill="1" applyBorder="1" applyAlignment="1">
      <alignment horizontal="right" vertical="center"/>
    </xf>
    <xf numFmtId="0" fontId="21" fillId="2" borderId="15" xfId="0" applyFont="1" applyFill="1" applyBorder="1" applyAlignment="1">
      <alignment horizontal="center" vertical="center"/>
    </xf>
    <xf numFmtId="0" fontId="7" fillId="2" borderId="3" xfId="0" applyFont="1" applyFill="1" applyBorder="1" applyAlignment="1">
      <alignment horizontal="center" vertical="center"/>
    </xf>
    <xf numFmtId="0" fontId="2" fillId="4" borderId="2" xfId="0" applyFont="1" applyFill="1" applyBorder="1" applyAlignment="1">
      <alignment vertical="center"/>
    </xf>
    <xf numFmtId="0" fontId="0" fillId="0" borderId="0" xfId="0" applyFill="1" applyBorder="1" applyAlignment="1">
      <alignment horizontal="left" vertical="top"/>
    </xf>
    <xf numFmtId="0" fontId="0" fillId="7" borderId="48" xfId="0" applyFill="1" applyBorder="1" applyAlignment="1">
      <alignment horizontal="left" vertical="top" wrapText="1"/>
    </xf>
    <xf numFmtId="0" fontId="34" fillId="7" borderId="48" xfId="0" applyFont="1" applyFill="1" applyBorder="1" applyAlignment="1">
      <alignment horizontal="center" vertical="center" wrapText="1"/>
    </xf>
    <xf numFmtId="0" fontId="35" fillId="0" borderId="48" xfId="0" applyFont="1" applyFill="1" applyBorder="1" applyAlignment="1">
      <alignment horizontal="left" vertical="top" wrapText="1"/>
    </xf>
    <xf numFmtId="0" fontId="36" fillId="0" borderId="48" xfId="0" applyFont="1" applyFill="1" applyBorder="1" applyAlignment="1" applyProtection="1">
      <alignment horizontal="center" vertical="center" wrapText="1"/>
      <protection locked="0"/>
    </xf>
    <xf numFmtId="0" fontId="0" fillId="0" borderId="48" xfId="0" applyFill="1" applyBorder="1" applyAlignment="1">
      <alignment horizontal="left" vertical="top" wrapText="1"/>
    </xf>
    <xf numFmtId="0" fontId="0" fillId="8" borderId="45" xfId="0" applyFill="1" applyBorder="1" applyAlignment="1">
      <alignment horizontal="left" vertical="top" wrapText="1"/>
    </xf>
    <xf numFmtId="0" fontId="34" fillId="8" borderId="48" xfId="0" applyFont="1" applyFill="1" applyBorder="1" applyAlignment="1">
      <alignment horizontal="left" vertical="top" wrapText="1"/>
    </xf>
    <xf numFmtId="0" fontId="0" fillId="0" borderId="45" xfId="0" applyFill="1" applyBorder="1" applyAlignment="1">
      <alignment horizontal="left" vertical="top" wrapText="1"/>
    </xf>
    <xf numFmtId="0" fontId="35" fillId="0" borderId="45" xfId="0" applyFont="1" applyFill="1" applyBorder="1" applyAlignment="1">
      <alignment horizontal="left" vertical="top" wrapText="1"/>
    </xf>
    <xf numFmtId="0" fontId="32" fillId="0" borderId="48" xfId="0" applyFont="1" applyFill="1" applyBorder="1" applyAlignment="1">
      <alignment horizontal="left" vertical="top" wrapText="1"/>
    </xf>
    <xf numFmtId="0" fontId="40" fillId="0" borderId="1" xfId="0" applyFont="1" applyFill="1" applyBorder="1" applyAlignment="1">
      <alignment horizontal="center" vertical="center"/>
    </xf>
    <xf numFmtId="0" fontId="0" fillId="0" borderId="48" xfId="0" applyFill="1" applyBorder="1" applyAlignment="1">
      <alignment vertical="center" wrapText="1"/>
    </xf>
    <xf numFmtId="0" fontId="35" fillId="0" borderId="48" xfId="0" applyFont="1" applyFill="1" applyBorder="1" applyAlignment="1">
      <alignment horizontal="left" vertical="center" wrapText="1"/>
    </xf>
    <xf numFmtId="0" fontId="0" fillId="0" borderId="48" xfId="0" applyFill="1" applyBorder="1" applyAlignment="1">
      <alignment horizontal="left" vertical="center" wrapText="1"/>
    </xf>
    <xf numFmtId="0" fontId="0" fillId="0" borderId="45" xfId="0" applyFill="1" applyBorder="1" applyAlignment="1">
      <alignment horizontal="left" vertical="center" wrapText="1"/>
    </xf>
    <xf numFmtId="0" fontId="35" fillId="0" borderId="45" xfId="0" applyFont="1" applyFill="1" applyBorder="1" applyAlignment="1">
      <alignment horizontal="left" vertical="center" wrapText="1"/>
    </xf>
    <xf numFmtId="0" fontId="35" fillId="0" borderId="48" xfId="0" applyFont="1" applyFill="1" applyBorder="1" applyAlignment="1">
      <alignment horizontal="left" wrapText="1"/>
    </xf>
    <xf numFmtId="0" fontId="43" fillId="0" borderId="45" xfId="0" applyFont="1" applyFill="1" applyBorder="1" applyAlignment="1">
      <alignment horizontal="left" vertical="center" wrapText="1"/>
    </xf>
    <xf numFmtId="0" fontId="35" fillId="0" borderId="45" xfId="0" applyFont="1" applyFill="1" applyBorder="1" applyAlignment="1">
      <alignment vertical="center" wrapText="1"/>
    </xf>
    <xf numFmtId="0" fontId="0" fillId="8" borderId="48" xfId="0" applyFill="1" applyBorder="1" applyAlignment="1">
      <alignment horizontal="left" vertical="top" wrapText="1"/>
    </xf>
    <xf numFmtId="0" fontId="46" fillId="0" borderId="48" xfId="0" applyFont="1" applyFill="1" applyBorder="1" applyAlignment="1">
      <alignment horizontal="center" wrapText="1"/>
    </xf>
    <xf numFmtId="0" fontId="46" fillId="0" borderId="48" xfId="0" applyFont="1" applyFill="1" applyBorder="1" applyAlignment="1">
      <alignment horizontal="center" vertical="center" wrapText="1"/>
    </xf>
    <xf numFmtId="0" fontId="32" fillId="8" borderId="50" xfId="0" applyFont="1" applyFill="1" applyBorder="1" applyAlignment="1">
      <alignment horizontal="left" vertical="top" wrapText="1"/>
    </xf>
    <xf numFmtId="0" fontId="18" fillId="0" borderId="51" xfId="0" applyFont="1" applyFill="1" applyBorder="1" applyAlignment="1">
      <alignment horizontal="right" vertical="center" wrapText="1"/>
    </xf>
    <xf numFmtId="0" fontId="18" fillId="0" borderId="1" xfId="0" applyFont="1" applyFill="1" applyBorder="1" applyAlignment="1">
      <alignment horizontal="center" vertical="center" wrapText="1"/>
    </xf>
    <xf numFmtId="0" fontId="18" fillId="0" borderId="2" xfId="0" applyFont="1" applyFill="1" applyBorder="1" applyAlignment="1">
      <alignment horizontal="center" vertical="top" wrapText="1"/>
    </xf>
    <xf numFmtId="0" fontId="40" fillId="0" borderId="0" xfId="0" applyFont="1" applyFill="1" applyBorder="1" applyAlignment="1">
      <alignment horizontal="right" vertical="center"/>
    </xf>
    <xf numFmtId="0" fontId="40" fillId="0" borderId="1" xfId="0" applyFont="1" applyFill="1" applyBorder="1" applyAlignment="1">
      <alignment horizontal="center" vertical="top"/>
    </xf>
    <xf numFmtId="0" fontId="32" fillId="8" borderId="48" xfId="0" applyFont="1" applyFill="1" applyBorder="1" applyAlignment="1">
      <alignment horizontal="left" vertical="center" wrapText="1"/>
    </xf>
    <xf numFmtId="0" fontId="18" fillId="0" borderId="51" xfId="0" applyFont="1" applyFill="1" applyBorder="1" applyAlignment="1">
      <alignment horizontal="right" wrapText="1"/>
    </xf>
    <xf numFmtId="0" fontId="34" fillId="8" borderId="49" xfId="0" applyFont="1" applyFill="1" applyBorder="1" applyAlignment="1">
      <alignment horizontal="center" vertical="top" wrapText="1"/>
    </xf>
    <xf numFmtId="0" fontId="0" fillId="8" borderId="49" xfId="0" applyFill="1" applyBorder="1" applyAlignment="1">
      <alignment horizontal="center" vertical="top" wrapText="1"/>
    </xf>
    <xf numFmtId="0" fontId="18" fillId="0" borderId="52" xfId="0" applyFont="1" applyFill="1" applyBorder="1" applyAlignment="1">
      <alignment horizontal="left" vertical="center" wrapText="1"/>
    </xf>
    <xf numFmtId="0" fontId="43" fillId="0" borderId="48" xfId="0" applyFont="1" applyFill="1" applyBorder="1" applyAlignment="1">
      <alignment horizontal="left" vertical="center" wrapText="1"/>
    </xf>
    <xf numFmtId="0" fontId="36" fillId="0" borderId="52" xfId="0" applyFont="1" applyFill="1" applyBorder="1" applyAlignment="1" applyProtection="1">
      <alignment horizontal="center" vertical="center" wrapText="1"/>
      <protection locked="0"/>
    </xf>
    <xf numFmtId="0" fontId="18" fillId="0" borderId="48" xfId="0" applyFont="1" applyFill="1" applyBorder="1" applyAlignment="1">
      <alignment horizontal="left" vertical="center" wrapText="1"/>
    </xf>
    <xf numFmtId="0" fontId="43" fillId="0" borderId="52" xfId="0" applyFont="1" applyFill="1" applyBorder="1" applyAlignment="1">
      <alignment horizontal="left" vertical="center" wrapText="1"/>
    </xf>
    <xf numFmtId="0" fontId="51" fillId="0" borderId="0" xfId="0" applyFont="1" applyFill="1" applyBorder="1" applyAlignment="1">
      <alignment horizontal="left" vertical="top"/>
    </xf>
    <xf numFmtId="0" fontId="30" fillId="0" borderId="0" xfId="0" applyFont="1" applyFill="1" applyBorder="1" applyAlignment="1">
      <alignment horizontal="left" vertical="center"/>
    </xf>
    <xf numFmtId="0" fontId="35" fillId="0" borderId="48" xfId="0" applyFont="1" applyFill="1" applyBorder="1" applyAlignment="1" applyProtection="1">
      <alignment horizontal="left" wrapText="1"/>
      <protection locked="0"/>
    </xf>
    <xf numFmtId="0" fontId="18" fillId="0" borderId="48" xfId="0" applyFont="1" applyFill="1" applyBorder="1" applyAlignment="1">
      <alignment horizontal="center" vertical="center" wrapText="1"/>
    </xf>
    <xf numFmtId="0" fontId="46" fillId="0" borderId="48" xfId="0" applyFont="1" applyFill="1" applyBorder="1" applyAlignment="1" applyProtection="1">
      <alignment horizontal="center" vertical="center" wrapText="1"/>
      <protection locked="0"/>
    </xf>
    <xf numFmtId="0" fontId="46" fillId="0" borderId="48" xfId="0" applyFont="1" applyFill="1" applyBorder="1" applyAlignment="1" applyProtection="1">
      <alignment horizontal="left" vertical="center" wrapText="1"/>
      <protection locked="0"/>
    </xf>
    <xf numFmtId="0" fontId="46" fillId="0" borderId="48" xfId="0" applyFont="1" applyFill="1" applyBorder="1" applyAlignment="1">
      <alignment horizontal="left" vertical="center" wrapText="1"/>
    </xf>
    <xf numFmtId="0" fontId="4" fillId="4" borderId="7" xfId="0" applyFont="1" applyFill="1" applyBorder="1" applyAlignment="1">
      <alignment horizontal="center" vertical="center"/>
    </xf>
    <xf numFmtId="0" fontId="1" fillId="2" borderId="8" xfId="0" applyFont="1" applyFill="1" applyBorder="1" applyAlignment="1">
      <alignment horizontal="center" vertical="center"/>
    </xf>
    <xf numFmtId="0" fontId="1" fillId="2" borderId="24" xfId="0" applyFont="1" applyFill="1" applyBorder="1" applyAlignment="1">
      <alignment horizontal="left" vertical="center"/>
    </xf>
    <xf numFmtId="0" fontId="28" fillId="0" borderId="0" xfId="0" applyFont="1" applyBorder="1" applyAlignment="1" applyProtection="1">
      <alignment vertical="top"/>
      <protection locked="0"/>
    </xf>
    <xf numFmtId="0" fontId="22" fillId="0" borderId="0" xfId="0" applyFont="1" applyBorder="1" applyAlignment="1"/>
    <xf numFmtId="0" fontId="13" fillId="0" borderId="0" xfId="0" applyFont="1" applyBorder="1" applyAlignment="1"/>
    <xf numFmtId="0" fontId="17" fillId="0" borderId="0" xfId="0" applyFont="1" applyBorder="1" applyAlignment="1"/>
    <xf numFmtId="0" fontId="4" fillId="4" borderId="1" xfId="0" applyFont="1" applyFill="1" applyBorder="1" applyAlignment="1">
      <alignment horizontal="center" vertical="center"/>
    </xf>
    <xf numFmtId="1" fontId="10" fillId="0" borderId="0" xfId="0" applyNumberFormat="1" applyFont="1" applyAlignment="1">
      <alignment horizontal="center"/>
    </xf>
    <xf numFmtId="166" fontId="10" fillId="0" borderId="0" xfId="0" applyNumberFormat="1" applyFont="1" applyAlignment="1">
      <alignment horizontal="center"/>
    </xf>
    <xf numFmtId="164" fontId="10" fillId="0" borderId="0" xfId="0" applyNumberFormat="1" applyFont="1" applyAlignment="1">
      <alignment horizontal="center"/>
    </xf>
    <xf numFmtId="165" fontId="10" fillId="0" borderId="0" xfId="0" applyNumberFormat="1" applyFont="1" applyAlignment="1">
      <alignment horizontal="center"/>
    </xf>
    <xf numFmtId="0" fontId="13" fillId="0" borderId="10" xfId="0" applyFont="1" applyBorder="1" applyAlignment="1" applyProtection="1">
      <alignment horizontal="center"/>
      <protection locked="0"/>
    </xf>
    <xf numFmtId="0" fontId="7" fillId="2" borderId="38" xfId="0" applyFont="1" applyFill="1" applyBorder="1" applyAlignment="1" applyProtection="1">
      <alignment horizontal="center" vertical="center"/>
      <protection locked="0"/>
    </xf>
    <xf numFmtId="0" fontId="4" fillId="4" borderId="0" xfId="0" applyFont="1" applyFill="1" applyBorder="1" applyAlignment="1" applyProtection="1">
      <alignment horizontal="center"/>
      <protection locked="0"/>
    </xf>
    <xf numFmtId="0" fontId="4" fillId="4" borderId="0" xfId="0" applyFont="1" applyFill="1" applyBorder="1"/>
    <xf numFmtId="0" fontId="4" fillId="4" borderId="19" xfId="0" applyFont="1" applyFill="1" applyBorder="1" applyAlignment="1" applyProtection="1">
      <alignment horizontal="center"/>
      <protection locked="0"/>
    </xf>
    <xf numFmtId="0" fontId="4" fillId="2" borderId="10" xfId="0" applyFont="1" applyFill="1" applyBorder="1" applyAlignment="1" applyProtection="1">
      <alignment horizontal="center"/>
      <protection locked="0"/>
    </xf>
    <xf numFmtId="0" fontId="0" fillId="4" borderId="0" xfId="0" applyFill="1"/>
    <xf numFmtId="0" fontId="0" fillId="2" borderId="15" xfId="0" applyFill="1" applyBorder="1"/>
    <xf numFmtId="0" fontId="2" fillId="2" borderId="16" xfId="0" applyFont="1" applyFill="1" applyBorder="1" applyAlignment="1">
      <alignment horizontal="center"/>
    </xf>
    <xf numFmtId="0" fontId="2" fillId="2" borderId="17" xfId="0" applyFont="1" applyFill="1" applyBorder="1" applyAlignment="1">
      <alignment horizontal="center"/>
    </xf>
    <xf numFmtId="165" fontId="2" fillId="2" borderId="22" xfId="0" applyNumberFormat="1" applyFont="1" applyFill="1" applyBorder="1" applyProtection="1"/>
    <xf numFmtId="0" fontId="1" fillId="2" borderId="0" xfId="0" applyFont="1" applyFill="1" applyBorder="1" applyProtection="1"/>
    <xf numFmtId="0" fontId="52" fillId="2" borderId="0" xfId="0" applyFont="1" applyFill="1" applyBorder="1" applyAlignment="1" applyProtection="1">
      <alignment horizontal="center"/>
    </xf>
    <xf numFmtId="165" fontId="2" fillId="4" borderId="0" xfId="0" applyNumberFormat="1" applyFont="1" applyFill="1" applyBorder="1" applyAlignment="1" applyProtection="1">
      <alignment horizontal="center"/>
    </xf>
    <xf numFmtId="0" fontId="0" fillId="4" borderId="0" xfId="0" applyFill="1" applyBorder="1" applyProtection="1"/>
    <xf numFmtId="0" fontId="4" fillId="4" borderId="0" xfId="0" applyFont="1" applyFill="1" applyBorder="1" applyAlignment="1" applyProtection="1">
      <alignment horizontal="center"/>
    </xf>
    <xf numFmtId="0" fontId="4" fillId="2" borderId="0" xfId="0" applyFont="1" applyFill="1" applyBorder="1" applyAlignment="1" applyProtection="1">
      <alignment horizontal="center"/>
    </xf>
    <xf numFmtId="0" fontId="52" fillId="2" borderId="15" xfId="0" applyFont="1" applyFill="1" applyBorder="1" applyAlignment="1" applyProtection="1">
      <alignment horizontal="center"/>
    </xf>
    <xf numFmtId="0" fontId="52" fillId="2" borderId="16" xfId="0" applyFont="1" applyFill="1" applyBorder="1" applyAlignment="1" applyProtection="1">
      <alignment horizontal="center"/>
    </xf>
    <xf numFmtId="0" fontId="52" fillId="2" borderId="17" xfId="0" applyFont="1" applyFill="1" applyBorder="1" applyAlignment="1" applyProtection="1">
      <alignment horizontal="center"/>
    </xf>
    <xf numFmtId="0" fontId="4" fillId="2" borderId="33" xfId="0" applyFont="1" applyFill="1" applyBorder="1" applyAlignment="1" applyProtection="1">
      <alignment horizontal="center"/>
      <protection locked="0"/>
    </xf>
    <xf numFmtId="165" fontId="2" fillId="4" borderId="39" xfId="0" applyNumberFormat="1" applyFont="1" applyFill="1" applyBorder="1" applyAlignment="1" applyProtection="1">
      <alignment horizontal="center"/>
    </xf>
    <xf numFmtId="0" fontId="4" fillId="2" borderId="34" xfId="0" applyFont="1" applyFill="1" applyBorder="1" applyAlignment="1" applyProtection="1">
      <alignment horizontal="center"/>
    </xf>
    <xf numFmtId="0" fontId="4" fillId="4" borderId="35" xfId="0" applyFont="1" applyFill="1" applyBorder="1" applyAlignment="1" applyProtection="1">
      <alignment horizontal="center"/>
    </xf>
    <xf numFmtId="165" fontId="2" fillId="4" borderId="23" xfId="0" applyNumberFormat="1" applyFont="1" applyFill="1" applyBorder="1" applyAlignment="1" applyProtection="1">
      <alignment horizontal="center"/>
    </xf>
    <xf numFmtId="0" fontId="7" fillId="2" borderId="22" xfId="0" applyFont="1" applyFill="1" applyBorder="1" applyAlignment="1">
      <alignment horizontal="right" vertical="top"/>
    </xf>
    <xf numFmtId="0" fontId="7" fillId="2" borderId="22" xfId="0" applyFont="1" applyFill="1" applyBorder="1" applyAlignment="1">
      <alignment horizontal="center" vertical="top"/>
    </xf>
    <xf numFmtId="0" fontId="7" fillId="2" borderId="0" xfId="0" applyFont="1" applyFill="1" applyBorder="1" applyAlignment="1">
      <alignment horizontal="right" vertical="top"/>
    </xf>
    <xf numFmtId="0" fontId="7" fillId="2" borderId="0" xfId="0" applyFont="1" applyFill="1" applyBorder="1" applyAlignment="1">
      <alignment horizontal="center" vertical="top"/>
    </xf>
    <xf numFmtId="0" fontId="4" fillId="2" borderId="0" xfId="0" applyFont="1" applyFill="1" applyBorder="1" applyAlignment="1" applyProtection="1">
      <alignment horizontal="right" vertical="top"/>
    </xf>
    <xf numFmtId="165" fontId="4" fillId="4" borderId="0" xfId="0" applyNumberFormat="1" applyFont="1" applyFill="1" applyBorder="1" applyAlignment="1" applyProtection="1">
      <alignment horizontal="center" vertical="top"/>
    </xf>
    <xf numFmtId="165" fontId="4" fillId="2" borderId="19" xfId="0" applyNumberFormat="1" applyFont="1" applyFill="1" applyBorder="1" applyAlignment="1" applyProtection="1">
      <alignment horizontal="center" vertical="top"/>
    </xf>
    <xf numFmtId="165" fontId="4" fillId="4" borderId="22" xfId="0" applyNumberFormat="1" applyFont="1" applyFill="1" applyBorder="1" applyAlignment="1" applyProtection="1">
      <alignment horizontal="center" vertical="top"/>
    </xf>
    <xf numFmtId="165" fontId="4" fillId="2" borderId="25" xfId="0" applyNumberFormat="1" applyFont="1" applyFill="1" applyBorder="1" applyAlignment="1" applyProtection="1">
      <alignment horizontal="center" vertical="top"/>
    </xf>
    <xf numFmtId="0" fontId="4" fillId="2" borderId="22" xfId="0" applyFont="1" applyFill="1" applyBorder="1" applyAlignment="1" applyProtection="1">
      <alignment horizontal="right" vertical="top"/>
    </xf>
    <xf numFmtId="0" fontId="14" fillId="0" borderId="13" xfId="0" applyFont="1" applyBorder="1" applyAlignment="1">
      <alignment horizontal="center"/>
    </xf>
    <xf numFmtId="0" fontId="5" fillId="0" borderId="0" xfId="0" applyFont="1" applyFill="1" applyBorder="1" applyAlignment="1">
      <alignment horizontal="center"/>
    </xf>
    <xf numFmtId="0" fontId="13" fillId="0" borderId="53" xfId="0" applyFont="1" applyBorder="1" applyAlignment="1">
      <alignment horizontal="center"/>
    </xf>
    <xf numFmtId="0" fontId="13" fillId="2" borderId="10" xfId="0" applyFont="1" applyFill="1" applyBorder="1" applyAlignment="1" applyProtection="1">
      <alignment horizontal="center"/>
      <protection locked="0"/>
    </xf>
    <xf numFmtId="0" fontId="2" fillId="2" borderId="24" xfId="0" applyFont="1" applyFill="1" applyBorder="1" applyAlignment="1" applyProtection="1"/>
    <xf numFmtId="0" fontId="8" fillId="2" borderId="0" xfId="0" applyFont="1" applyFill="1" applyBorder="1" applyProtection="1"/>
    <xf numFmtId="2" fontId="7" fillId="2" borderId="58" xfId="0" applyNumberFormat="1" applyFont="1" applyFill="1" applyBorder="1" applyAlignment="1" applyProtection="1">
      <alignment horizontal="center"/>
    </xf>
    <xf numFmtId="166" fontId="4" fillId="2" borderId="59" xfId="0" applyNumberFormat="1" applyFont="1" applyFill="1" applyBorder="1" applyAlignment="1" applyProtection="1">
      <alignment horizontal="center"/>
    </xf>
    <xf numFmtId="165" fontId="4" fillId="2" borderId="60" xfId="0" applyNumberFormat="1" applyFont="1" applyFill="1" applyBorder="1" applyAlignment="1" applyProtection="1">
      <alignment horizontal="center"/>
    </xf>
    <xf numFmtId="165" fontId="4" fillId="2" borderId="61" xfId="0" applyNumberFormat="1" applyFont="1" applyFill="1" applyBorder="1" applyAlignment="1" applyProtection="1">
      <alignment horizontal="center"/>
    </xf>
    <xf numFmtId="0" fontId="4" fillId="2" borderId="43" xfId="0" applyFont="1" applyFill="1" applyBorder="1" applyAlignment="1" applyProtection="1">
      <alignment horizontal="center"/>
      <protection locked="0"/>
    </xf>
    <xf numFmtId="0" fontId="4" fillId="2" borderId="53" xfId="0" applyFont="1" applyFill="1" applyBorder="1" applyAlignment="1" applyProtection="1">
      <alignment horizontal="center"/>
      <protection locked="0"/>
    </xf>
    <xf numFmtId="0" fontId="4" fillId="2" borderId="54" xfId="0" applyFont="1" applyFill="1" applyBorder="1" applyAlignment="1" applyProtection="1">
      <alignment horizontal="center"/>
      <protection locked="0"/>
    </xf>
    <xf numFmtId="0" fontId="4" fillId="2" borderId="44" xfId="0" applyFont="1" applyFill="1" applyBorder="1" applyAlignment="1" applyProtection="1">
      <alignment horizontal="center"/>
      <protection locked="0"/>
    </xf>
    <xf numFmtId="0" fontId="4" fillId="2" borderId="26" xfId="0" applyFont="1" applyFill="1" applyBorder="1" applyAlignment="1" applyProtection="1">
      <alignment horizontal="center"/>
      <protection locked="0"/>
    </xf>
    <xf numFmtId="0" fontId="4" fillId="2" borderId="62" xfId="0" applyFont="1" applyFill="1" applyBorder="1" applyAlignment="1" applyProtection="1">
      <alignment horizontal="center"/>
      <protection locked="0"/>
    </xf>
    <xf numFmtId="0" fontId="13" fillId="2" borderId="0" xfId="0" applyFont="1" applyFill="1" applyBorder="1" applyAlignment="1" applyProtection="1">
      <alignment horizontal="left"/>
    </xf>
    <xf numFmtId="0" fontId="5" fillId="2" borderId="0" xfId="0" applyFont="1" applyFill="1" applyBorder="1" applyAlignment="1" applyProtection="1">
      <alignment horizontal="center"/>
    </xf>
    <xf numFmtId="0" fontId="4" fillId="2" borderId="30" xfId="0" applyFont="1" applyFill="1" applyBorder="1" applyAlignment="1" applyProtection="1">
      <alignment horizontal="center"/>
      <protection locked="0"/>
    </xf>
    <xf numFmtId="0" fontId="4" fillId="2" borderId="58" xfId="0" applyFont="1" applyFill="1" applyBorder="1" applyAlignment="1" applyProtection="1">
      <alignment horizontal="center"/>
      <protection locked="0"/>
    </xf>
    <xf numFmtId="0" fontId="4" fillId="2" borderId="59" xfId="0" applyFont="1" applyFill="1" applyBorder="1" applyAlignment="1" applyProtection="1">
      <alignment horizontal="center"/>
      <protection locked="0"/>
    </xf>
    <xf numFmtId="0" fontId="2" fillId="2" borderId="34" xfId="0" applyFont="1" applyFill="1" applyBorder="1" applyAlignment="1" applyProtection="1">
      <alignment horizontal="center"/>
    </xf>
    <xf numFmtId="0" fontId="2" fillId="2" borderId="61" xfId="0" applyFont="1" applyFill="1" applyBorder="1" applyAlignment="1" applyProtection="1">
      <alignment horizontal="center"/>
    </xf>
    <xf numFmtId="0" fontId="19" fillId="2" borderId="0" xfId="0" applyFont="1" applyFill="1" applyBorder="1" applyAlignment="1" applyProtection="1">
      <alignment horizontal="center"/>
    </xf>
    <xf numFmtId="0" fontId="52" fillId="2" borderId="0" xfId="0" applyFont="1" applyFill="1" applyBorder="1" applyAlignment="1" applyProtection="1"/>
    <xf numFmtId="165" fontId="52" fillId="2" borderId="0" xfId="0" applyNumberFormat="1" applyFont="1" applyFill="1" applyBorder="1" applyProtection="1"/>
    <xf numFmtId="0" fontId="4" fillId="2" borderId="66" xfId="0" applyFont="1" applyFill="1" applyBorder="1" applyAlignment="1" applyProtection="1">
      <alignment horizontal="center"/>
      <protection locked="0"/>
    </xf>
    <xf numFmtId="0" fontId="4" fillId="2" borderId="56" xfId="0" applyFont="1" applyFill="1" applyBorder="1" applyAlignment="1" applyProtection="1">
      <alignment horizontal="center"/>
      <protection locked="0"/>
    </xf>
    <xf numFmtId="0" fontId="4" fillId="2" borderId="67" xfId="0" applyFont="1" applyFill="1" applyBorder="1" applyAlignment="1" applyProtection="1">
      <alignment horizontal="center"/>
      <protection locked="0"/>
    </xf>
    <xf numFmtId="0" fontId="13" fillId="4" borderId="0" xfId="0" applyFont="1" applyFill="1" applyBorder="1" applyAlignment="1" applyProtection="1">
      <alignment horizontal="center"/>
    </xf>
    <xf numFmtId="0" fontId="6" fillId="2" borderId="0" xfId="0" applyFont="1" applyFill="1" applyBorder="1" applyAlignment="1" applyProtection="1"/>
    <xf numFmtId="165" fontId="13" fillId="0" borderId="1" xfId="0" applyNumberFormat="1" applyFont="1" applyBorder="1" applyAlignment="1">
      <alignment horizontal="center"/>
    </xf>
    <xf numFmtId="165" fontId="14" fillId="0" borderId="1" xfId="0" applyNumberFormat="1" applyFont="1" applyBorder="1" applyAlignment="1">
      <alignment horizontal="center"/>
    </xf>
    <xf numFmtId="165" fontId="13" fillId="0" borderId="14" xfId="0" applyNumberFormat="1" applyFont="1" applyBorder="1" applyAlignment="1">
      <alignment horizontal="center"/>
    </xf>
    <xf numFmtId="0" fontId="5" fillId="0" borderId="38" xfId="0" applyFont="1" applyBorder="1" applyAlignment="1">
      <alignment horizontal="center"/>
    </xf>
    <xf numFmtId="0" fontId="0" fillId="0" borderId="7" xfId="0" applyBorder="1"/>
    <xf numFmtId="0" fontId="5" fillId="0" borderId="37" xfId="0" applyFont="1" applyBorder="1" applyAlignment="1">
      <alignment horizontal="center"/>
    </xf>
    <xf numFmtId="0" fontId="5" fillId="0" borderId="35" xfId="0" applyFont="1" applyBorder="1" applyAlignment="1">
      <alignment horizontal="center"/>
    </xf>
    <xf numFmtId="0" fontId="18" fillId="2" borderId="16" xfId="0" applyFont="1" applyFill="1" applyBorder="1" applyProtection="1"/>
    <xf numFmtId="0" fontId="5" fillId="2" borderId="19" xfId="0" applyFont="1" applyFill="1" applyBorder="1" applyAlignment="1" applyProtection="1">
      <alignment horizontal="center"/>
    </xf>
    <xf numFmtId="0" fontId="0" fillId="4" borderId="24" xfId="0" applyFill="1" applyBorder="1" applyProtection="1"/>
    <xf numFmtId="0" fontId="13" fillId="4" borderId="24" xfId="0" applyFont="1" applyFill="1" applyBorder="1" applyAlignment="1" applyProtection="1">
      <alignment horizontal="center" vertical="center"/>
    </xf>
    <xf numFmtId="165" fontId="2" fillId="4" borderId="19" xfId="0" applyNumberFormat="1" applyFont="1" applyFill="1" applyBorder="1" applyAlignment="1" applyProtection="1">
      <alignment horizontal="center"/>
    </xf>
    <xf numFmtId="0" fontId="13" fillId="2" borderId="19" xfId="0" applyFont="1" applyFill="1" applyBorder="1" applyAlignment="1" applyProtection="1"/>
    <xf numFmtId="0" fontId="13" fillId="2" borderId="24" xfId="0" applyFont="1" applyFill="1" applyBorder="1" applyAlignment="1" applyProtection="1">
      <alignment horizontal="center"/>
    </xf>
    <xf numFmtId="0" fontId="0" fillId="4" borderId="19" xfId="0" applyFill="1" applyBorder="1" applyProtection="1"/>
    <xf numFmtId="0" fontId="52" fillId="4" borderId="0" xfId="0" applyFont="1" applyFill="1" applyBorder="1" applyProtection="1"/>
    <xf numFmtId="0" fontId="19" fillId="2" borderId="24" xfId="0" applyFont="1" applyFill="1" applyBorder="1" applyAlignment="1" applyProtection="1">
      <alignment horizontal="center"/>
    </xf>
    <xf numFmtId="0" fontId="3" fillId="2" borderId="19" xfId="0" applyFont="1" applyFill="1" applyBorder="1" applyAlignment="1" applyProtection="1"/>
    <xf numFmtId="0" fontId="13" fillId="2" borderId="21" xfId="0" applyFont="1" applyFill="1" applyBorder="1" applyAlignment="1" applyProtection="1">
      <alignment horizontal="center"/>
    </xf>
    <xf numFmtId="0" fontId="4" fillId="2" borderId="22" xfId="0" applyFont="1" applyFill="1" applyBorder="1" applyAlignment="1" applyProtection="1">
      <alignment horizontal="center"/>
      <protection locked="0"/>
    </xf>
    <xf numFmtId="1" fontId="2" fillId="2" borderId="22" xfId="0" applyNumberFormat="1" applyFont="1" applyFill="1" applyBorder="1" applyAlignment="1" applyProtection="1"/>
    <xf numFmtId="0" fontId="0" fillId="4" borderId="22" xfId="0" applyFill="1" applyBorder="1" applyProtection="1"/>
    <xf numFmtId="1" fontId="2" fillId="2" borderId="25" xfId="0" applyNumberFormat="1" applyFont="1" applyFill="1" applyBorder="1" applyAlignment="1" applyProtection="1"/>
    <xf numFmtId="0" fontId="4" fillId="4" borderId="33" xfId="0" applyFont="1" applyFill="1" applyBorder="1" applyAlignment="1" applyProtection="1">
      <alignment horizontal="center"/>
      <protection locked="0"/>
    </xf>
    <xf numFmtId="0" fontId="4" fillId="4" borderId="10" xfId="0" applyFont="1" applyFill="1" applyBorder="1" applyAlignment="1" applyProtection="1">
      <alignment horizontal="center"/>
      <protection locked="0"/>
    </xf>
    <xf numFmtId="0" fontId="4" fillId="4" borderId="34" xfId="0" applyFont="1" applyFill="1" applyBorder="1" applyAlignment="1" applyProtection="1">
      <alignment horizontal="center"/>
      <protection locked="0"/>
    </xf>
    <xf numFmtId="0" fontId="4" fillId="4" borderId="35" xfId="0" applyFont="1" applyFill="1" applyBorder="1" applyAlignment="1" applyProtection="1">
      <alignment horizontal="center"/>
      <protection locked="0"/>
    </xf>
    <xf numFmtId="0" fontId="7" fillId="2" borderId="66" xfId="0" applyFont="1" applyFill="1" applyBorder="1" applyAlignment="1" applyProtection="1">
      <alignment horizontal="center"/>
      <protection locked="0"/>
    </xf>
    <xf numFmtId="0" fontId="13" fillId="2" borderId="0" xfId="0" applyFont="1" applyFill="1" applyBorder="1" applyAlignment="1" applyProtection="1">
      <alignment horizontal="center"/>
      <protection locked="0"/>
    </xf>
    <xf numFmtId="0" fontId="13" fillId="2" borderId="0" xfId="0" applyFont="1" applyFill="1" applyBorder="1" applyAlignment="1">
      <alignment horizontal="center"/>
    </xf>
    <xf numFmtId="0" fontId="14" fillId="2" borderId="24" xfId="0" applyFont="1" applyFill="1" applyBorder="1" applyAlignment="1">
      <alignment horizontal="center"/>
    </xf>
    <xf numFmtId="0" fontId="13" fillId="2" borderId="66" xfId="0" applyFont="1" applyFill="1" applyBorder="1" applyAlignment="1" applyProtection="1">
      <alignment horizontal="center"/>
      <protection locked="0"/>
    </xf>
    <xf numFmtId="0" fontId="13" fillId="2" borderId="56" xfId="0" applyFont="1" applyFill="1" applyBorder="1" applyAlignment="1" applyProtection="1">
      <alignment horizontal="center"/>
      <protection locked="0"/>
    </xf>
    <xf numFmtId="0" fontId="13" fillId="4" borderId="1" xfId="0" applyFont="1" applyFill="1" applyBorder="1" applyProtection="1">
      <protection locked="0"/>
    </xf>
    <xf numFmtId="0" fontId="17" fillId="0" borderId="13" xfId="0" applyFont="1" applyBorder="1" applyAlignment="1">
      <alignment horizontal="center"/>
    </xf>
    <xf numFmtId="0" fontId="13" fillId="0" borderId="14" xfId="0" applyFont="1" applyBorder="1" applyAlignment="1" applyProtection="1">
      <alignment horizontal="center" vertical="top"/>
      <protection locked="0"/>
    </xf>
    <xf numFmtId="0" fontId="13" fillId="4" borderId="67" xfId="0" applyFont="1" applyFill="1" applyBorder="1" applyAlignment="1" applyProtection="1">
      <alignment horizontal="center"/>
      <protection locked="0"/>
    </xf>
    <xf numFmtId="168" fontId="13" fillId="0" borderId="2" xfId="0" applyNumberFormat="1" applyFont="1" applyBorder="1" applyAlignment="1" applyProtection="1">
      <alignment horizontal="center"/>
      <protection locked="0"/>
    </xf>
    <xf numFmtId="168" fontId="7" fillId="2" borderId="18" xfId="0" applyNumberFormat="1" applyFont="1" applyFill="1" applyBorder="1" applyAlignment="1">
      <alignment horizontal="center" vertical="center"/>
    </xf>
    <xf numFmtId="14" fontId="7" fillId="2" borderId="18" xfId="0" applyNumberFormat="1" applyFont="1" applyFill="1" applyBorder="1" applyAlignment="1">
      <alignment horizontal="center" vertical="center"/>
    </xf>
    <xf numFmtId="168" fontId="46" fillId="0" borderId="1" xfId="0" applyNumberFormat="1" applyFont="1" applyFill="1" applyBorder="1" applyAlignment="1">
      <alignment horizontal="center" vertical="center"/>
    </xf>
    <xf numFmtId="0" fontId="13" fillId="0" borderId="10" xfId="0" applyFont="1" applyBorder="1" applyAlignment="1" applyProtection="1">
      <alignment horizontal="center"/>
      <protection locked="0"/>
    </xf>
    <xf numFmtId="0" fontId="5" fillId="4" borderId="16" xfId="0" applyFont="1" applyFill="1" applyBorder="1" applyAlignment="1">
      <alignment horizontal="center" vertical="center"/>
    </xf>
    <xf numFmtId="0" fontId="23" fillId="4" borderId="24" xfId="0" applyFont="1" applyFill="1" applyBorder="1" applyAlignment="1">
      <alignment horizontal="center" vertical="center" wrapText="1"/>
    </xf>
    <xf numFmtId="0" fontId="57" fillId="0" borderId="0" xfId="0" applyFont="1"/>
    <xf numFmtId="0" fontId="1" fillId="2" borderId="30" xfId="0" applyFont="1" applyFill="1" applyBorder="1" applyAlignment="1">
      <alignment horizontal="left" vertical="center"/>
    </xf>
    <xf numFmtId="0" fontId="2" fillId="4" borderId="31" xfId="0" applyFont="1" applyFill="1" applyBorder="1" applyAlignment="1">
      <alignment vertical="center"/>
    </xf>
    <xf numFmtId="0" fontId="4" fillId="4" borderId="70" xfId="0" applyFont="1" applyFill="1" applyBorder="1" applyAlignment="1">
      <alignment horizontal="center" vertical="center"/>
    </xf>
    <xf numFmtId="0" fontId="23" fillId="0" borderId="0" xfId="0" applyFont="1" applyFill="1" applyBorder="1" applyAlignment="1">
      <alignment horizontal="right" vertical="top"/>
    </xf>
    <xf numFmtId="0" fontId="46" fillId="0" borderId="0" xfId="0" applyFont="1" applyFill="1" applyBorder="1" applyAlignment="1">
      <alignment vertical="center" wrapText="1"/>
    </xf>
    <xf numFmtId="0" fontId="46" fillId="0" borderId="1" xfId="0" applyFont="1" applyFill="1" applyBorder="1" applyAlignment="1">
      <alignment horizontal="center" vertical="center" wrapText="1"/>
    </xf>
    <xf numFmtId="0" fontId="46" fillId="0" borderId="1" xfId="0" applyNumberFormat="1" applyFont="1" applyFill="1" applyBorder="1" applyAlignment="1">
      <alignment horizontal="center" vertical="center"/>
    </xf>
    <xf numFmtId="0" fontId="14" fillId="0" borderId="13" xfId="0" applyFont="1" applyBorder="1" applyAlignment="1">
      <alignment horizontal="center"/>
    </xf>
    <xf numFmtId="0" fontId="14" fillId="0" borderId="1" xfId="0" applyFont="1" applyBorder="1" applyAlignment="1">
      <alignment horizontal="center"/>
    </xf>
    <xf numFmtId="0" fontId="13" fillId="0" borderId="28" xfId="0" applyFont="1" applyBorder="1" applyAlignment="1">
      <alignment horizontal="center" vertical="center"/>
    </xf>
    <xf numFmtId="0" fontId="13" fillId="0" borderId="14" xfId="0" applyFont="1" applyBorder="1" applyAlignment="1">
      <alignment horizontal="center" vertical="center"/>
    </xf>
    <xf numFmtId="0" fontId="13" fillId="0" borderId="8" xfId="0" applyFont="1" applyBorder="1" applyAlignment="1" applyProtection="1">
      <alignment horizontal="center" vertical="top"/>
    </xf>
    <xf numFmtId="0" fontId="13" fillId="0" borderId="9" xfId="0" applyFont="1" applyBorder="1" applyAlignment="1" applyProtection="1">
      <alignment horizontal="center" vertical="top"/>
    </xf>
    <xf numFmtId="0" fontId="13" fillId="0" borderId="27" xfId="0" applyFont="1" applyBorder="1" applyAlignment="1" applyProtection="1">
      <alignment horizontal="center" vertical="top"/>
    </xf>
    <xf numFmtId="0" fontId="17" fillId="0" borderId="27" xfId="0" applyFont="1" applyBorder="1" applyAlignment="1">
      <alignment horizontal="center"/>
    </xf>
    <xf numFmtId="0" fontId="17" fillId="0" borderId="0" xfId="0" applyFont="1" applyBorder="1" applyAlignment="1">
      <alignment horizontal="center"/>
    </xf>
    <xf numFmtId="0" fontId="13" fillId="0" borderId="8" xfId="0" applyFont="1" applyBorder="1" applyAlignment="1" applyProtection="1">
      <alignment horizontal="center" vertical="top"/>
      <protection locked="0"/>
    </xf>
    <xf numFmtId="0" fontId="13" fillId="0" borderId="9" xfId="0" applyFont="1" applyBorder="1" applyAlignment="1" applyProtection="1">
      <alignment horizontal="center" vertical="top"/>
      <protection locked="0"/>
    </xf>
    <xf numFmtId="0" fontId="17" fillId="0" borderId="5" xfId="0" applyFont="1" applyBorder="1" applyAlignment="1">
      <alignment horizontal="center"/>
    </xf>
    <xf numFmtId="0" fontId="17" fillId="0" borderId="11" xfId="0" applyFont="1" applyBorder="1" applyAlignment="1">
      <alignment horizontal="center"/>
    </xf>
    <xf numFmtId="0" fontId="17" fillId="0" borderId="6" xfId="0" applyFont="1" applyBorder="1" applyAlignment="1">
      <alignment horizontal="center"/>
    </xf>
    <xf numFmtId="0" fontId="13" fillId="0" borderId="27" xfId="0" applyFont="1" applyBorder="1" applyAlignment="1" applyProtection="1">
      <alignment horizontal="center" vertical="top"/>
      <protection locked="0"/>
    </xf>
    <xf numFmtId="0" fontId="13" fillId="0" borderId="10" xfId="0" applyFont="1" applyBorder="1" applyAlignment="1">
      <alignment horizontal="center"/>
    </xf>
    <xf numFmtId="0" fontId="13" fillId="0" borderId="3" xfId="0" applyFont="1" applyBorder="1" applyAlignment="1">
      <alignment horizontal="center"/>
    </xf>
    <xf numFmtId="0" fontId="19" fillId="0" borderId="5" xfId="0" applyFont="1" applyBorder="1" applyAlignment="1">
      <alignment horizontal="center"/>
    </xf>
    <xf numFmtId="0" fontId="19" fillId="0" borderId="6" xfId="0" applyFont="1" applyBorder="1" applyAlignment="1">
      <alignment horizontal="center"/>
    </xf>
    <xf numFmtId="0" fontId="17" fillId="0" borderId="4" xfId="0" applyFont="1" applyBorder="1" applyAlignment="1">
      <alignment horizontal="center"/>
    </xf>
    <xf numFmtId="0" fontId="17" fillId="0" borderId="7" xfId="0" applyFont="1" applyBorder="1" applyAlignment="1">
      <alignment horizontal="center"/>
    </xf>
    <xf numFmtId="0" fontId="13" fillId="3" borderId="0" xfId="0" applyFont="1" applyFill="1" applyBorder="1" applyAlignment="1">
      <alignment horizontal="center" vertical="center"/>
    </xf>
    <xf numFmtId="0" fontId="22" fillId="0" borderId="2" xfId="0" applyFont="1" applyBorder="1" applyAlignment="1">
      <alignment horizontal="center"/>
    </xf>
    <xf numFmtId="0" fontId="22" fillId="0" borderId="10" xfId="0" applyFont="1" applyBorder="1" applyAlignment="1">
      <alignment horizontal="center"/>
    </xf>
    <xf numFmtId="0" fontId="22" fillId="0" borderId="3" xfId="0" applyFont="1" applyBorder="1" applyAlignment="1">
      <alignment horizontal="center"/>
    </xf>
    <xf numFmtId="0" fontId="28" fillId="0" borderId="5" xfId="0" applyFont="1" applyBorder="1" applyAlignment="1" applyProtection="1">
      <alignment horizontal="left" vertical="top" wrapText="1"/>
      <protection locked="0"/>
    </xf>
    <xf numFmtId="0" fontId="28" fillId="0" borderId="11" xfId="0" applyFont="1" applyBorder="1" applyAlignment="1" applyProtection="1">
      <alignment horizontal="left" vertical="top" wrapText="1"/>
      <protection locked="0"/>
    </xf>
    <xf numFmtId="0" fontId="28" fillId="0" borderId="6" xfId="0" applyFont="1" applyBorder="1" applyAlignment="1" applyProtection="1">
      <alignment horizontal="left" vertical="top" wrapText="1"/>
      <protection locked="0"/>
    </xf>
    <xf numFmtId="0" fontId="28" fillId="0" borderId="4" xfId="0" applyFont="1" applyBorder="1" applyAlignment="1" applyProtection="1">
      <alignment horizontal="left" vertical="top" wrapText="1"/>
      <protection locked="0"/>
    </xf>
    <xf numFmtId="0" fontId="28" fillId="0" borderId="0" xfId="0" applyFont="1" applyBorder="1" applyAlignment="1" applyProtection="1">
      <alignment horizontal="left" vertical="top" wrapText="1"/>
      <protection locked="0"/>
    </xf>
    <xf numFmtId="0" fontId="28" fillId="0" borderId="7" xfId="0" applyFont="1" applyBorder="1" applyAlignment="1" applyProtection="1">
      <alignment horizontal="left" vertical="top" wrapText="1"/>
      <protection locked="0"/>
    </xf>
    <xf numFmtId="0" fontId="28" fillId="0" borderId="8" xfId="0" applyFont="1" applyBorder="1" applyAlignment="1" applyProtection="1">
      <alignment horizontal="left" vertical="top" wrapText="1"/>
      <protection locked="0"/>
    </xf>
    <xf numFmtId="0" fontId="28" fillId="0" borderId="27" xfId="0" applyFont="1" applyBorder="1" applyAlignment="1" applyProtection="1">
      <alignment horizontal="left" vertical="top" wrapText="1"/>
      <protection locked="0"/>
    </xf>
    <xf numFmtId="0" fontId="28" fillId="0" borderId="9" xfId="0" applyFont="1" applyBorder="1" applyAlignment="1" applyProtection="1">
      <alignment horizontal="left" vertical="top" wrapText="1"/>
      <protection locked="0"/>
    </xf>
    <xf numFmtId="0" fontId="26" fillId="0" borderId="0" xfId="0" applyFont="1" applyAlignment="1">
      <alignment horizontal="center"/>
    </xf>
    <xf numFmtId="0" fontId="13" fillId="0" borderId="10" xfId="0" applyFont="1" applyBorder="1" applyAlignment="1" applyProtection="1">
      <alignment horizontal="center"/>
      <protection locked="0"/>
    </xf>
    <xf numFmtId="0" fontId="17" fillId="0" borderId="0" xfId="0" applyFont="1" applyAlignment="1">
      <alignment horizontal="center"/>
    </xf>
    <xf numFmtId="0" fontId="26" fillId="0" borderId="4" xfId="0" applyFont="1" applyBorder="1" applyAlignment="1">
      <alignment horizontal="center"/>
    </xf>
    <xf numFmtId="0" fontId="26" fillId="0" borderId="0" xfId="0" applyFont="1" applyBorder="1" applyAlignment="1">
      <alignment horizontal="center"/>
    </xf>
    <xf numFmtId="0" fontId="17" fillId="0" borderId="11" xfId="0" applyFont="1" applyBorder="1" applyAlignment="1">
      <alignment horizontal="center" vertical="center"/>
    </xf>
    <xf numFmtId="0" fontId="17" fillId="0" borderId="6" xfId="0" applyFont="1" applyBorder="1" applyAlignment="1">
      <alignment horizontal="center" vertical="center"/>
    </xf>
    <xf numFmtId="0" fontId="17" fillId="0" borderId="27" xfId="0" applyFont="1" applyBorder="1" applyAlignment="1">
      <alignment horizontal="center" vertical="center"/>
    </xf>
    <xf numFmtId="0" fontId="17" fillId="0" borderId="9" xfId="0" applyFont="1" applyBorder="1" applyAlignment="1">
      <alignment horizontal="center" vertical="center"/>
    </xf>
    <xf numFmtId="0" fontId="13" fillId="0" borderId="57" xfId="0" applyFont="1" applyBorder="1" applyAlignment="1">
      <alignment horizontal="center" vertical="center"/>
    </xf>
    <xf numFmtId="0" fontId="13" fillId="0" borderId="29" xfId="0" applyFont="1" applyBorder="1" applyAlignment="1">
      <alignment horizontal="center" vertical="center"/>
    </xf>
    <xf numFmtId="0" fontId="13" fillId="0" borderId="13" xfId="0" applyFont="1" applyBorder="1" applyAlignment="1">
      <alignment horizontal="center" vertical="center"/>
    </xf>
    <xf numFmtId="0" fontId="17" fillId="0" borderId="5" xfId="0" applyFont="1" applyBorder="1" applyAlignment="1">
      <alignment horizontal="center" vertical="center" wrapText="1"/>
    </xf>
    <xf numFmtId="0" fontId="17" fillId="0" borderId="8" xfId="0" applyFont="1" applyBorder="1" applyAlignment="1">
      <alignment horizontal="center" vertical="center" wrapText="1"/>
    </xf>
    <xf numFmtId="0" fontId="17" fillId="0" borderId="11" xfId="0" applyFont="1" applyBorder="1" applyAlignment="1">
      <alignment horizontal="center" vertical="center" wrapText="1"/>
    </xf>
    <xf numFmtId="0" fontId="17" fillId="0" borderId="27" xfId="0" applyFont="1" applyBorder="1" applyAlignment="1">
      <alignment horizontal="center" vertical="center" wrapText="1"/>
    </xf>
    <xf numFmtId="0" fontId="22" fillId="3" borderId="0" xfId="0" applyFont="1" applyFill="1" applyBorder="1" applyAlignment="1">
      <alignment horizontal="center"/>
    </xf>
    <xf numFmtId="0" fontId="35" fillId="0" borderId="45" xfId="0" applyFont="1" applyFill="1" applyBorder="1" applyAlignment="1">
      <alignment horizontal="left" vertical="top" wrapText="1"/>
    </xf>
    <xf numFmtId="0" fontId="35" fillId="0" borderId="46" xfId="0" applyFont="1" applyFill="1" applyBorder="1" applyAlignment="1">
      <alignment horizontal="left" vertical="top" wrapText="1"/>
    </xf>
    <xf numFmtId="0" fontId="35" fillId="0" borderId="47" xfId="0" applyFont="1" applyFill="1" applyBorder="1" applyAlignment="1">
      <alignment horizontal="left" vertical="top" wrapText="1"/>
    </xf>
    <xf numFmtId="0" fontId="46" fillId="0" borderId="2" xfId="0" applyFont="1" applyFill="1" applyBorder="1" applyAlignment="1">
      <alignment horizontal="center" vertical="center" wrapText="1"/>
    </xf>
    <xf numFmtId="0" fontId="46" fillId="0" borderId="3" xfId="0" applyFont="1" applyFill="1" applyBorder="1" applyAlignment="1">
      <alignment horizontal="center" vertical="center" wrapText="1"/>
    </xf>
    <xf numFmtId="0" fontId="0" fillId="0" borderId="45" xfId="0" applyFill="1" applyBorder="1" applyAlignment="1">
      <alignment horizontal="left" vertical="top" wrapText="1"/>
    </xf>
    <xf numFmtId="0" fontId="0" fillId="0" borderId="46" xfId="0" applyFill="1" applyBorder="1" applyAlignment="1">
      <alignment horizontal="left" vertical="top" wrapText="1"/>
    </xf>
    <xf numFmtId="0" fontId="0" fillId="0" borderId="47" xfId="0" applyFill="1" applyBorder="1" applyAlignment="1">
      <alignment horizontal="left" vertical="top" wrapText="1"/>
    </xf>
    <xf numFmtId="0" fontId="32" fillId="8" borderId="45" xfId="0" applyFont="1" applyFill="1" applyBorder="1" applyAlignment="1">
      <alignment horizontal="left" vertical="top" wrapText="1"/>
    </xf>
    <xf numFmtId="0" fontId="32" fillId="8" borderId="46" xfId="0" applyFont="1" applyFill="1" applyBorder="1" applyAlignment="1">
      <alignment horizontal="left" vertical="top" wrapText="1"/>
    </xf>
    <xf numFmtId="0" fontId="32" fillId="8" borderId="47" xfId="0" applyFont="1" applyFill="1" applyBorder="1" applyAlignment="1">
      <alignment horizontal="left" vertical="top" wrapText="1"/>
    </xf>
    <xf numFmtId="0" fontId="0" fillId="8" borderId="45" xfId="0" applyFill="1" applyBorder="1" applyAlignment="1">
      <alignment horizontal="left" vertical="top" wrapText="1"/>
    </xf>
    <xf numFmtId="0" fontId="0" fillId="8" borderId="46" xfId="0" applyFill="1" applyBorder="1" applyAlignment="1">
      <alignment horizontal="left" vertical="top" wrapText="1"/>
    </xf>
    <xf numFmtId="0" fontId="0" fillId="8" borderId="47" xfId="0" applyFill="1" applyBorder="1" applyAlignment="1">
      <alignment horizontal="left" vertical="top" wrapText="1"/>
    </xf>
    <xf numFmtId="0" fontId="4" fillId="0" borderId="2" xfId="0" applyFont="1" applyFill="1" applyBorder="1" applyAlignment="1">
      <alignment horizontal="center" vertical="center"/>
    </xf>
    <xf numFmtId="0" fontId="4" fillId="0" borderId="3" xfId="0" applyFont="1" applyFill="1" applyBorder="1" applyAlignment="1">
      <alignment horizontal="center" vertical="center"/>
    </xf>
    <xf numFmtId="0" fontId="31" fillId="0" borderId="45" xfId="0" applyFont="1" applyFill="1" applyBorder="1" applyAlignment="1">
      <alignment horizontal="left" vertical="center" wrapText="1"/>
    </xf>
    <xf numFmtId="0" fontId="31" fillId="0" borderId="46" xfId="0" applyFont="1" applyFill="1" applyBorder="1" applyAlignment="1">
      <alignment horizontal="left" vertical="center" wrapText="1"/>
    </xf>
    <xf numFmtId="0" fontId="31" fillId="0" borderId="47" xfId="0" applyFont="1" applyFill="1" applyBorder="1" applyAlignment="1">
      <alignment horizontal="left" vertical="center" wrapText="1"/>
    </xf>
    <xf numFmtId="0" fontId="0" fillId="0" borderId="45" xfId="0" applyFill="1" applyBorder="1" applyAlignment="1">
      <alignment horizontal="left" vertical="center" wrapText="1"/>
    </xf>
    <xf numFmtId="0" fontId="0" fillId="0" borderId="46" xfId="0" applyFill="1" applyBorder="1" applyAlignment="1">
      <alignment horizontal="left" vertical="center" wrapText="1"/>
    </xf>
    <xf numFmtId="0" fontId="0" fillId="0" borderId="47" xfId="0" applyFill="1" applyBorder="1" applyAlignment="1">
      <alignment horizontal="left" vertical="center" wrapText="1"/>
    </xf>
    <xf numFmtId="0" fontId="35" fillId="0" borderId="45" xfId="0" applyFont="1" applyFill="1" applyBorder="1" applyAlignment="1">
      <alignment horizontal="left" vertical="center" wrapText="1"/>
    </xf>
    <xf numFmtId="0" fontId="35" fillId="0" borderId="46" xfId="0" applyFont="1" applyFill="1" applyBorder="1" applyAlignment="1">
      <alignment horizontal="left" vertical="center" wrapText="1"/>
    </xf>
    <xf numFmtId="0" fontId="35" fillId="0" borderId="47" xfId="0" applyFont="1" applyFill="1" applyBorder="1" applyAlignment="1">
      <alignment horizontal="left" vertical="center" wrapText="1"/>
    </xf>
    <xf numFmtId="0" fontId="0" fillId="4" borderId="24" xfId="0" applyFill="1" applyBorder="1" applyAlignment="1" applyProtection="1">
      <alignment horizontal="left" vertical="top" wrapText="1"/>
      <protection locked="0"/>
    </xf>
    <xf numFmtId="0" fontId="0" fillId="4" borderId="0" xfId="0" applyFill="1" applyBorder="1" applyAlignment="1" applyProtection="1">
      <alignment horizontal="left" vertical="top" wrapText="1"/>
      <protection locked="0"/>
    </xf>
    <xf numFmtId="0" fontId="0" fillId="4" borderId="19" xfId="0" applyFill="1" applyBorder="1" applyAlignment="1" applyProtection="1">
      <alignment horizontal="left" vertical="top" wrapText="1"/>
      <protection locked="0"/>
    </xf>
    <xf numFmtId="0" fontId="0" fillId="4" borderId="21" xfId="0" applyFill="1" applyBorder="1" applyAlignment="1" applyProtection="1">
      <alignment horizontal="left" vertical="top" wrapText="1"/>
      <protection locked="0"/>
    </xf>
    <xf numFmtId="0" fontId="0" fillId="4" borderId="22" xfId="0" applyFill="1" applyBorder="1" applyAlignment="1" applyProtection="1">
      <alignment horizontal="left" vertical="top" wrapText="1"/>
      <protection locked="0"/>
    </xf>
    <xf numFmtId="0" fontId="0" fillId="4" borderId="25" xfId="0" applyFill="1" applyBorder="1" applyAlignment="1" applyProtection="1">
      <alignment horizontal="left" vertical="top" wrapText="1"/>
      <protection locked="0"/>
    </xf>
    <xf numFmtId="0" fontId="23" fillId="4" borderId="15" xfId="0" applyFont="1" applyFill="1" applyBorder="1" applyAlignment="1">
      <alignment horizontal="center"/>
    </xf>
    <xf numFmtId="0" fontId="23" fillId="4" borderId="16" xfId="0" applyFont="1" applyFill="1" applyBorder="1" applyAlignment="1">
      <alignment horizontal="center"/>
    </xf>
    <xf numFmtId="0" fontId="23" fillId="4" borderId="17" xfId="0" applyFont="1" applyFill="1" applyBorder="1" applyAlignment="1">
      <alignment horizontal="center"/>
    </xf>
    <xf numFmtId="0" fontId="23" fillId="4" borderId="15" xfId="0" applyFont="1" applyFill="1" applyBorder="1" applyAlignment="1">
      <alignment horizontal="center" vertical="center" wrapText="1"/>
    </xf>
    <xf numFmtId="0" fontId="23" fillId="4" borderId="24" xfId="0" applyFont="1" applyFill="1" applyBorder="1" applyAlignment="1">
      <alignment horizontal="center" vertical="center" wrapText="1"/>
    </xf>
    <xf numFmtId="0" fontId="23" fillId="4" borderId="21" xfId="0" applyFont="1" applyFill="1" applyBorder="1" applyAlignment="1">
      <alignment horizontal="center" vertical="center" wrapText="1"/>
    </xf>
    <xf numFmtId="0" fontId="4" fillId="2" borderId="35" xfId="0" applyFont="1" applyFill="1" applyBorder="1" applyAlignment="1" applyProtection="1">
      <alignment horizontal="center" vertical="center"/>
      <protection locked="0"/>
    </xf>
    <xf numFmtId="0" fontId="4" fillId="2" borderId="23" xfId="0" applyFont="1" applyFill="1" applyBorder="1" applyAlignment="1" applyProtection="1">
      <alignment horizontal="center" vertical="center"/>
      <protection locked="0"/>
    </xf>
    <xf numFmtId="0" fontId="20" fillId="4" borderId="2" xfId="0" applyFont="1" applyFill="1" applyBorder="1" applyAlignment="1" applyProtection="1">
      <alignment horizontal="center" vertical="center"/>
      <protection locked="0"/>
    </xf>
    <xf numFmtId="0" fontId="20" fillId="4" borderId="39" xfId="0" applyFont="1" applyFill="1" applyBorder="1" applyAlignment="1" applyProtection="1">
      <alignment horizontal="center" vertical="center"/>
      <protection locked="0"/>
    </xf>
    <xf numFmtId="0" fontId="29" fillId="4" borderId="40" xfId="0" applyFont="1" applyFill="1" applyBorder="1" applyAlignment="1" applyProtection="1">
      <alignment horizontal="center" vertical="center" wrapText="1"/>
    </xf>
    <xf numFmtId="0" fontId="29" fillId="4" borderId="11" xfId="0" applyFont="1" applyFill="1" applyBorder="1" applyAlignment="1" applyProtection="1">
      <alignment horizontal="center" vertical="center" wrapText="1"/>
    </xf>
    <xf numFmtId="0" fontId="29" fillId="4" borderId="36" xfId="0" applyFont="1" applyFill="1" applyBorder="1" applyAlignment="1" applyProtection="1">
      <alignment horizontal="center" vertical="center" wrapText="1"/>
    </xf>
    <xf numFmtId="0" fontId="2" fillId="4" borderId="2" xfId="0" applyFont="1" applyFill="1" applyBorder="1" applyAlignment="1">
      <alignment horizontal="center" vertical="center"/>
    </xf>
    <xf numFmtId="0" fontId="2" fillId="4" borderId="3" xfId="0" applyFont="1" applyFill="1" applyBorder="1" applyAlignment="1">
      <alignment horizontal="center" vertical="center"/>
    </xf>
    <xf numFmtId="0" fontId="13" fillId="4" borderId="40" xfId="0" applyFont="1" applyFill="1" applyBorder="1" applyAlignment="1" applyProtection="1">
      <alignment horizontal="left" vertical="top" wrapText="1"/>
      <protection locked="0"/>
    </xf>
    <xf numFmtId="0" fontId="13" fillId="4" borderId="11" xfId="0" applyFont="1" applyFill="1" applyBorder="1" applyAlignment="1" applyProtection="1">
      <alignment horizontal="left" vertical="top" wrapText="1"/>
      <protection locked="0"/>
    </xf>
    <xf numFmtId="0" fontId="13" fillId="4" borderId="36" xfId="0" applyFont="1" applyFill="1" applyBorder="1" applyAlignment="1" applyProtection="1">
      <alignment horizontal="left" vertical="top" wrapText="1"/>
      <protection locked="0"/>
    </xf>
    <xf numFmtId="0" fontId="13" fillId="4" borderId="24" xfId="0" applyFont="1" applyFill="1" applyBorder="1" applyAlignment="1" applyProtection="1">
      <alignment horizontal="left" vertical="top" wrapText="1"/>
      <protection locked="0"/>
    </xf>
    <xf numFmtId="0" fontId="13" fillId="4" borderId="0" xfId="0" applyFont="1" applyFill="1" applyBorder="1" applyAlignment="1" applyProtection="1">
      <alignment horizontal="left" vertical="top" wrapText="1"/>
      <protection locked="0"/>
    </xf>
    <xf numFmtId="0" fontId="13" fillId="4" borderId="19" xfId="0" applyFont="1" applyFill="1" applyBorder="1" applyAlignment="1" applyProtection="1">
      <alignment horizontal="left" vertical="top" wrapText="1"/>
      <protection locked="0"/>
    </xf>
    <xf numFmtId="0" fontId="13" fillId="4" borderId="41" xfId="0" applyFont="1" applyFill="1" applyBorder="1" applyAlignment="1" applyProtection="1">
      <alignment horizontal="left" vertical="top" wrapText="1"/>
      <protection locked="0"/>
    </xf>
    <xf numFmtId="0" fontId="13" fillId="4" borderId="27" xfId="0" applyFont="1" applyFill="1" applyBorder="1" applyAlignment="1" applyProtection="1">
      <alignment horizontal="left" vertical="top" wrapText="1"/>
      <protection locked="0"/>
    </xf>
    <xf numFmtId="0" fontId="13" fillId="4" borderId="42" xfId="0" applyFont="1" applyFill="1" applyBorder="1" applyAlignment="1" applyProtection="1">
      <alignment horizontal="left" vertical="top" wrapText="1"/>
      <protection locked="0"/>
    </xf>
    <xf numFmtId="0" fontId="5" fillId="4" borderId="16" xfId="0" applyFont="1" applyFill="1" applyBorder="1" applyAlignment="1">
      <alignment horizontal="center" vertical="center"/>
    </xf>
    <xf numFmtId="0" fontId="5" fillId="4" borderId="17" xfId="0" applyFont="1" applyFill="1" applyBorder="1" applyAlignment="1">
      <alignment horizontal="center" vertical="center"/>
    </xf>
    <xf numFmtId="0" fontId="4" fillId="4" borderId="27" xfId="0" applyFont="1" applyFill="1" applyBorder="1" applyAlignment="1">
      <alignment horizontal="center" vertical="center"/>
    </xf>
    <xf numFmtId="0" fontId="4" fillId="4" borderId="42" xfId="0" applyFont="1" applyFill="1" applyBorder="1" applyAlignment="1">
      <alignment horizontal="center" vertical="center"/>
    </xf>
    <xf numFmtId="0" fontId="2" fillId="4" borderId="10" xfId="0" applyFont="1" applyFill="1" applyBorder="1" applyAlignment="1">
      <alignment horizontal="center" vertical="center"/>
    </xf>
    <xf numFmtId="0" fontId="5" fillId="4" borderId="32" xfId="0" applyFont="1" applyFill="1" applyBorder="1" applyAlignment="1">
      <alignment horizontal="center" vertical="center"/>
    </xf>
    <xf numFmtId="0" fontId="4" fillId="4" borderId="32" xfId="0" applyFont="1" applyFill="1" applyBorder="1" applyAlignment="1">
      <alignment horizontal="center" vertical="center"/>
    </xf>
    <xf numFmtId="0" fontId="4" fillId="4" borderId="69" xfId="0" applyFont="1" applyFill="1" applyBorder="1" applyAlignment="1">
      <alignment horizontal="center" vertical="center"/>
    </xf>
    <xf numFmtId="0" fontId="4" fillId="2" borderId="10" xfId="0" applyFont="1" applyFill="1" applyBorder="1" applyAlignment="1" applyProtection="1">
      <alignment horizontal="center" vertical="center"/>
    </xf>
    <xf numFmtId="0" fontId="4" fillId="2" borderId="39" xfId="0" applyFont="1" applyFill="1" applyBorder="1" applyAlignment="1" applyProtection="1">
      <alignment horizontal="center" vertical="center"/>
    </xf>
    <xf numFmtId="0" fontId="13" fillId="2" borderId="40" xfId="0" applyFont="1" applyFill="1" applyBorder="1" applyAlignment="1" applyProtection="1">
      <alignment horizontal="left" vertical="top" wrapText="1"/>
      <protection locked="0"/>
    </xf>
    <xf numFmtId="0" fontId="13" fillId="2" borderId="11" xfId="0" applyFont="1" applyFill="1" applyBorder="1" applyAlignment="1" applyProtection="1">
      <alignment horizontal="left" vertical="top" wrapText="1"/>
      <protection locked="0"/>
    </xf>
    <xf numFmtId="0" fontId="13" fillId="2" borderId="0" xfId="0" applyFont="1" applyFill="1" applyBorder="1" applyAlignment="1" applyProtection="1">
      <alignment horizontal="left" vertical="top" wrapText="1"/>
      <protection locked="0"/>
    </xf>
    <xf numFmtId="0" fontId="13" fillId="2" borderId="36" xfId="0" applyFont="1" applyFill="1" applyBorder="1" applyAlignment="1" applyProtection="1">
      <alignment horizontal="left" vertical="top" wrapText="1"/>
      <protection locked="0"/>
    </xf>
    <xf numFmtId="0" fontId="13" fillId="2" borderId="24" xfId="0" applyFont="1" applyFill="1" applyBorder="1" applyAlignment="1" applyProtection="1">
      <alignment horizontal="left" vertical="top" wrapText="1"/>
      <protection locked="0"/>
    </xf>
    <xf numFmtId="0" fontId="13" fillId="2" borderId="19" xfId="0" applyFont="1" applyFill="1" applyBorder="1" applyAlignment="1" applyProtection="1">
      <alignment horizontal="left" vertical="top" wrapText="1"/>
      <protection locked="0"/>
    </xf>
    <xf numFmtId="0" fontId="13" fillId="2" borderId="41" xfId="0" applyFont="1" applyFill="1" applyBorder="1" applyAlignment="1" applyProtection="1">
      <alignment horizontal="left" vertical="top" wrapText="1"/>
      <protection locked="0"/>
    </xf>
    <xf numFmtId="0" fontId="13" fillId="2" borderId="27" xfId="0" applyFont="1" applyFill="1" applyBorder="1" applyAlignment="1" applyProtection="1">
      <alignment horizontal="left" vertical="top" wrapText="1"/>
      <protection locked="0"/>
    </xf>
    <xf numFmtId="0" fontId="13" fillId="2" borderId="42" xfId="0" applyFont="1" applyFill="1" applyBorder="1" applyAlignment="1" applyProtection="1">
      <alignment horizontal="left" vertical="top" wrapText="1"/>
      <protection locked="0"/>
    </xf>
    <xf numFmtId="0" fontId="18" fillId="2" borderId="40" xfId="0" applyFont="1" applyFill="1" applyBorder="1" applyAlignment="1" applyProtection="1">
      <alignment horizontal="left" vertical="top" wrapText="1"/>
      <protection locked="0"/>
    </xf>
    <xf numFmtId="0" fontId="18" fillId="2" borderId="11" xfId="0" applyFont="1" applyFill="1" applyBorder="1" applyAlignment="1" applyProtection="1">
      <alignment horizontal="left" vertical="top" wrapText="1"/>
      <protection locked="0"/>
    </xf>
    <xf numFmtId="0" fontId="18" fillId="2" borderId="36" xfId="0" applyFont="1" applyFill="1" applyBorder="1" applyAlignment="1" applyProtection="1">
      <alignment horizontal="left" vertical="top" wrapText="1"/>
      <protection locked="0"/>
    </xf>
    <xf numFmtId="0" fontId="18" fillId="2" borderId="24" xfId="0" applyFont="1" applyFill="1" applyBorder="1" applyAlignment="1" applyProtection="1">
      <alignment horizontal="left" vertical="top" wrapText="1"/>
      <protection locked="0"/>
    </xf>
    <xf numFmtId="0" fontId="18" fillId="2" borderId="0" xfId="0" applyFont="1" applyFill="1" applyBorder="1" applyAlignment="1" applyProtection="1">
      <alignment horizontal="left" vertical="top" wrapText="1"/>
      <protection locked="0"/>
    </xf>
    <xf numFmtId="0" fontId="18" fillId="2" borderId="19" xfId="0" applyFont="1" applyFill="1" applyBorder="1" applyAlignment="1" applyProtection="1">
      <alignment horizontal="left" vertical="top" wrapText="1"/>
      <protection locked="0"/>
    </xf>
    <xf numFmtId="0" fontId="18" fillId="2" borderId="41" xfId="0" applyFont="1" applyFill="1" applyBorder="1" applyAlignment="1" applyProtection="1">
      <alignment horizontal="left" vertical="top" wrapText="1"/>
      <protection locked="0"/>
    </xf>
    <xf numFmtId="0" fontId="18" fillId="2" borderId="27" xfId="0" applyFont="1" applyFill="1" applyBorder="1" applyAlignment="1" applyProtection="1">
      <alignment horizontal="left" vertical="top" wrapText="1"/>
      <protection locked="0"/>
    </xf>
    <xf numFmtId="0" fontId="18" fillId="2" borderId="42" xfId="0" applyFont="1" applyFill="1" applyBorder="1" applyAlignment="1" applyProtection="1">
      <alignment horizontal="left" vertical="top" wrapText="1"/>
      <protection locked="0"/>
    </xf>
    <xf numFmtId="0" fontId="2" fillId="2" borderId="24" xfId="0" applyFont="1" applyFill="1" applyBorder="1" applyAlignment="1">
      <alignment horizontal="center"/>
    </xf>
    <xf numFmtId="0" fontId="2" fillId="2" borderId="0" xfId="0" applyFont="1" applyFill="1" applyBorder="1" applyAlignment="1">
      <alignment horizontal="center"/>
    </xf>
    <xf numFmtId="0" fontId="2" fillId="2" borderId="19" xfId="0" applyFont="1" applyFill="1" applyBorder="1" applyAlignment="1">
      <alignment horizontal="center"/>
    </xf>
    <xf numFmtId="0" fontId="25" fillId="2" borderId="24" xfId="0" applyFont="1" applyFill="1" applyBorder="1" applyAlignment="1" applyProtection="1">
      <alignment horizontal="left" vertical="top" wrapText="1"/>
      <protection locked="0"/>
    </xf>
    <xf numFmtId="0" fontId="25" fillId="2" borderId="0" xfId="0" applyFont="1" applyFill="1" applyBorder="1" applyAlignment="1" applyProtection="1">
      <alignment horizontal="left" vertical="top" wrapText="1"/>
      <protection locked="0"/>
    </xf>
    <xf numFmtId="0" fontId="25" fillId="2" borderId="19" xfId="0" applyFont="1" applyFill="1" applyBorder="1" applyAlignment="1" applyProtection="1">
      <alignment horizontal="left" vertical="top" wrapText="1"/>
      <protection locked="0"/>
    </xf>
    <xf numFmtId="0" fontId="25" fillId="2" borderId="21" xfId="0" applyFont="1" applyFill="1" applyBorder="1" applyAlignment="1" applyProtection="1">
      <alignment horizontal="left" vertical="top" wrapText="1"/>
      <protection locked="0"/>
    </xf>
    <xf numFmtId="0" fontId="25" fillId="2" borderId="22" xfId="0" applyFont="1" applyFill="1" applyBorder="1" applyAlignment="1" applyProtection="1">
      <alignment horizontal="left" vertical="top" wrapText="1"/>
      <protection locked="0"/>
    </xf>
    <xf numFmtId="0" fontId="25" fillId="2" borderId="25" xfId="0" applyFont="1" applyFill="1" applyBorder="1" applyAlignment="1" applyProtection="1">
      <alignment horizontal="left" vertical="top" wrapText="1"/>
      <protection locked="0"/>
    </xf>
    <xf numFmtId="0" fontId="2" fillId="2" borderId="40" xfId="0" applyFont="1" applyFill="1" applyBorder="1" applyAlignment="1">
      <alignment horizontal="center"/>
    </xf>
    <xf numFmtId="0" fontId="2" fillId="2" borderId="11" xfId="0" applyFont="1" applyFill="1" applyBorder="1" applyAlignment="1">
      <alignment horizontal="center"/>
    </xf>
    <xf numFmtId="0" fontId="14" fillId="2" borderId="24" xfId="0" applyFont="1" applyFill="1" applyBorder="1" applyAlignment="1"/>
    <xf numFmtId="0" fontId="14" fillId="2" borderId="7" xfId="0" applyFont="1" applyFill="1" applyBorder="1" applyAlignment="1"/>
    <xf numFmtId="0" fontId="14" fillId="2" borderId="24" xfId="0" applyFont="1" applyFill="1" applyBorder="1" applyAlignment="1">
      <alignment horizontal="left" vertical="center"/>
    </xf>
    <xf numFmtId="0" fontId="14" fillId="2" borderId="7" xfId="0" applyFont="1" applyFill="1" applyBorder="1" applyAlignment="1">
      <alignment horizontal="left" vertical="center"/>
    </xf>
    <xf numFmtId="0" fontId="2" fillId="4" borderId="40" xfId="0" applyFont="1" applyFill="1" applyBorder="1" applyAlignment="1">
      <alignment horizontal="center"/>
    </xf>
    <xf numFmtId="0" fontId="2" fillId="4" borderId="11" xfId="0" applyFont="1" applyFill="1" applyBorder="1" applyAlignment="1">
      <alignment horizontal="center"/>
    </xf>
    <xf numFmtId="0" fontId="2" fillId="4" borderId="36" xfId="0" applyFont="1" applyFill="1" applyBorder="1" applyAlignment="1">
      <alignment horizontal="center"/>
    </xf>
    <xf numFmtId="0" fontId="25" fillId="4" borderId="24" xfId="0" applyFont="1" applyFill="1" applyBorder="1" applyAlignment="1" applyProtection="1">
      <alignment horizontal="left" vertical="top" wrapText="1"/>
      <protection locked="0"/>
    </xf>
    <xf numFmtId="0" fontId="25" fillId="4" borderId="0" xfId="0" applyFont="1" applyFill="1" applyBorder="1" applyAlignment="1" applyProtection="1">
      <alignment horizontal="left" vertical="top" wrapText="1"/>
      <protection locked="0"/>
    </xf>
    <xf numFmtId="0" fontId="25" fillId="4" borderId="19" xfId="0" applyFont="1" applyFill="1" applyBorder="1" applyAlignment="1" applyProtection="1">
      <alignment horizontal="left" vertical="top" wrapText="1"/>
      <protection locked="0"/>
    </xf>
    <xf numFmtId="0" fontId="25" fillId="4" borderId="21" xfId="0" applyFont="1" applyFill="1" applyBorder="1" applyAlignment="1" applyProtection="1">
      <alignment horizontal="left" vertical="top" wrapText="1"/>
      <protection locked="0"/>
    </xf>
    <xf numFmtId="0" fontId="25" fillId="4" borderId="22" xfId="0" applyFont="1" applyFill="1" applyBorder="1" applyAlignment="1" applyProtection="1">
      <alignment horizontal="left" vertical="top" wrapText="1"/>
      <protection locked="0"/>
    </xf>
    <xf numFmtId="0" fontId="25" fillId="4" borderId="25" xfId="0" applyFont="1" applyFill="1" applyBorder="1" applyAlignment="1" applyProtection="1">
      <alignment horizontal="left" vertical="top" wrapText="1"/>
      <protection locked="0"/>
    </xf>
    <xf numFmtId="0" fontId="19" fillId="2" borderId="0" xfId="0" applyFont="1" applyFill="1" applyBorder="1" applyAlignment="1" applyProtection="1">
      <alignment horizontal="center" vertical="top"/>
    </xf>
    <xf numFmtId="0" fontId="19" fillId="2" borderId="19" xfId="0" applyFont="1" applyFill="1" applyBorder="1" applyAlignment="1" applyProtection="1">
      <alignment horizontal="center" vertical="top"/>
    </xf>
    <xf numFmtId="0" fontId="19" fillId="4" borderId="16" xfId="0" applyFont="1" applyFill="1" applyBorder="1" applyAlignment="1" applyProtection="1">
      <alignment horizontal="center" vertical="top"/>
    </xf>
    <xf numFmtId="0" fontId="19" fillId="4" borderId="17" xfId="0" applyFont="1" applyFill="1" applyBorder="1" applyAlignment="1" applyProtection="1">
      <alignment horizontal="center" vertical="top"/>
    </xf>
    <xf numFmtId="0" fontId="27" fillId="4" borderId="24" xfId="0" applyFont="1" applyFill="1" applyBorder="1" applyAlignment="1" applyProtection="1">
      <alignment horizontal="left" vertical="top" wrapText="1"/>
      <protection locked="0"/>
    </xf>
    <xf numFmtId="0" fontId="27" fillId="4" borderId="0" xfId="0" applyFont="1" applyFill="1" applyBorder="1" applyAlignment="1" applyProtection="1">
      <alignment horizontal="left" vertical="top" wrapText="1"/>
      <protection locked="0"/>
    </xf>
    <xf numFmtId="0" fontId="27" fillId="4" borderId="19" xfId="0" applyFont="1" applyFill="1" applyBorder="1" applyAlignment="1" applyProtection="1">
      <alignment horizontal="left" vertical="top" wrapText="1"/>
      <protection locked="0"/>
    </xf>
    <xf numFmtId="0" fontId="27" fillId="4" borderId="21" xfId="0" applyFont="1" applyFill="1" applyBorder="1" applyAlignment="1" applyProtection="1">
      <alignment horizontal="left" vertical="top" wrapText="1"/>
      <protection locked="0"/>
    </xf>
    <xf numFmtId="0" fontId="27" fillId="4" borderId="22" xfId="0" applyFont="1" applyFill="1" applyBorder="1" applyAlignment="1" applyProtection="1">
      <alignment horizontal="left" vertical="top" wrapText="1"/>
      <protection locked="0"/>
    </xf>
    <xf numFmtId="0" fontId="27" fillId="4" borderId="25" xfId="0" applyFont="1" applyFill="1" applyBorder="1" applyAlignment="1" applyProtection="1">
      <alignment horizontal="left" vertical="top" wrapText="1"/>
      <protection locked="0"/>
    </xf>
    <xf numFmtId="0" fontId="2" fillId="4" borderId="63" xfId="0" applyFont="1" applyFill="1" applyBorder="1" applyAlignment="1" applyProtection="1">
      <alignment horizontal="center" vertical="center"/>
    </xf>
    <xf numFmtId="0" fontId="2" fillId="4" borderId="64" xfId="0" applyFont="1" applyFill="1" applyBorder="1" applyAlignment="1" applyProtection="1">
      <alignment horizontal="center" vertical="center"/>
    </xf>
    <xf numFmtId="0" fontId="2" fillId="4" borderId="65" xfId="0" applyFont="1" applyFill="1" applyBorder="1" applyAlignment="1" applyProtection="1">
      <alignment horizontal="center" vertical="center"/>
    </xf>
    <xf numFmtId="0" fontId="52" fillId="2" borderId="63" xfId="0" applyFont="1" applyFill="1" applyBorder="1" applyAlignment="1" applyProtection="1">
      <alignment horizontal="center"/>
    </xf>
    <xf numFmtId="0" fontId="52" fillId="2" borderId="64" xfId="0" applyFont="1" applyFill="1" applyBorder="1" applyAlignment="1" applyProtection="1">
      <alignment horizontal="center"/>
    </xf>
    <xf numFmtId="0" fontId="52" fillId="2" borderId="65" xfId="0" applyFont="1" applyFill="1" applyBorder="1" applyAlignment="1" applyProtection="1">
      <alignment horizontal="center"/>
    </xf>
    <xf numFmtId="0" fontId="52" fillId="4" borderId="63" xfId="0" applyFont="1" applyFill="1" applyBorder="1" applyAlignment="1" applyProtection="1">
      <alignment horizontal="center"/>
    </xf>
    <xf numFmtId="0" fontId="52" fillId="4" borderId="64" xfId="0" applyFont="1" applyFill="1" applyBorder="1" applyAlignment="1" applyProtection="1">
      <alignment horizontal="center"/>
    </xf>
    <xf numFmtId="0" fontId="52" fillId="4" borderId="65" xfId="0" applyFont="1" applyFill="1" applyBorder="1" applyAlignment="1" applyProtection="1">
      <alignment horizontal="center"/>
    </xf>
    <xf numFmtId="0" fontId="19" fillId="4" borderId="0" xfId="0" applyFont="1" applyFill="1" applyBorder="1" applyAlignment="1" applyProtection="1">
      <alignment horizontal="center"/>
    </xf>
    <xf numFmtId="0" fontId="19" fillId="4" borderId="19" xfId="0" applyFont="1" applyFill="1" applyBorder="1" applyAlignment="1" applyProtection="1">
      <alignment horizontal="center"/>
    </xf>
    <xf numFmtId="1" fontId="14" fillId="2" borderId="68" xfId="0" applyNumberFormat="1" applyFont="1" applyFill="1" applyBorder="1" applyAlignment="1" applyProtection="1">
      <alignment horizontal="center"/>
    </xf>
    <xf numFmtId="1" fontId="14" fillId="2" borderId="55" xfId="0" applyNumberFormat="1" applyFont="1" applyFill="1" applyBorder="1" applyAlignment="1" applyProtection="1">
      <alignment horizontal="center"/>
    </xf>
    <xf numFmtId="0" fontId="41" fillId="9" borderId="45" xfId="0" applyFont="1" applyFill="1" applyBorder="1" applyAlignment="1">
      <alignment horizontal="center" vertical="center" wrapText="1"/>
    </xf>
    <xf numFmtId="0" fontId="41" fillId="9" borderId="46" xfId="0" applyFont="1" applyFill="1" applyBorder="1" applyAlignment="1">
      <alignment horizontal="center" vertical="center" wrapText="1"/>
    </xf>
    <xf numFmtId="0" fontId="41" fillId="9" borderId="47" xfId="0" applyFont="1" applyFill="1" applyBorder="1" applyAlignment="1">
      <alignment horizontal="center" vertical="center" wrapText="1"/>
    </xf>
    <xf numFmtId="0" fontId="47" fillId="9" borderId="2" xfId="0" applyFont="1" applyFill="1" applyBorder="1" applyAlignment="1">
      <alignment horizontal="center" vertical="top"/>
    </xf>
    <xf numFmtId="0" fontId="47" fillId="9" borderId="10" xfId="0" applyFont="1" applyFill="1" applyBorder="1" applyAlignment="1">
      <alignment horizontal="center" vertical="top"/>
    </xf>
    <xf numFmtId="0" fontId="47" fillId="9" borderId="3" xfId="0" applyFont="1" applyFill="1" applyBorder="1" applyAlignment="1">
      <alignment horizontal="center" vertical="top"/>
    </xf>
    <xf numFmtId="0" fontId="41" fillId="8" borderId="45" xfId="0" applyFont="1" applyFill="1" applyBorder="1" applyAlignment="1">
      <alignment horizontal="center" vertical="center" wrapText="1"/>
    </xf>
    <xf numFmtId="0" fontId="41" fillId="8" borderId="46" xfId="0" applyFont="1" applyFill="1" applyBorder="1" applyAlignment="1">
      <alignment horizontal="center" vertical="center" wrapText="1"/>
    </xf>
    <xf numFmtId="0" fontId="41" fillId="8" borderId="47" xfId="0" applyFont="1" applyFill="1" applyBorder="1" applyAlignment="1">
      <alignment horizontal="center" vertical="center" wrapText="1"/>
    </xf>
    <xf numFmtId="0" fontId="35" fillId="9" borderId="45" xfId="0" applyFont="1" applyFill="1" applyBorder="1" applyAlignment="1">
      <alignment horizontal="left" vertical="center" wrapText="1"/>
    </xf>
    <xf numFmtId="0" fontId="35" fillId="9" borderId="46" xfId="0" applyFont="1" applyFill="1" applyBorder="1" applyAlignment="1">
      <alignment horizontal="left" vertical="center" wrapText="1"/>
    </xf>
    <xf numFmtId="0" fontId="35" fillId="9" borderId="47" xfId="0" applyFont="1" applyFill="1" applyBorder="1" applyAlignment="1">
      <alignment horizontal="left" vertical="center" wrapText="1"/>
    </xf>
    <xf numFmtId="0" fontId="49" fillId="9" borderId="45" xfId="0" applyFont="1" applyFill="1" applyBorder="1" applyAlignment="1">
      <alignment horizontal="center" vertical="center" wrapText="1"/>
    </xf>
    <xf numFmtId="0" fontId="49" fillId="9" borderId="46" xfId="0" applyFont="1" applyFill="1" applyBorder="1" applyAlignment="1">
      <alignment horizontal="center" vertical="center" wrapText="1"/>
    </xf>
    <xf numFmtId="0" fontId="49" fillId="9" borderId="47" xfId="0" applyFont="1" applyFill="1" applyBorder="1" applyAlignment="1">
      <alignment horizontal="center" vertical="center" wrapText="1"/>
    </xf>
    <xf numFmtId="0" fontId="47" fillId="9" borderId="2" xfId="0" applyFont="1" applyFill="1" applyBorder="1" applyAlignment="1">
      <alignment horizontal="center" vertical="center"/>
    </xf>
    <xf numFmtId="0" fontId="47" fillId="9" borderId="10" xfId="0" applyFont="1" applyFill="1" applyBorder="1" applyAlignment="1">
      <alignment horizontal="center" vertical="center"/>
    </xf>
    <xf numFmtId="0" fontId="47" fillId="9" borderId="3" xfId="0" applyFont="1" applyFill="1" applyBorder="1" applyAlignment="1">
      <alignment horizontal="center" vertical="center"/>
    </xf>
    <xf numFmtId="0" fontId="47" fillId="9" borderId="45" xfId="0" applyFont="1" applyFill="1" applyBorder="1" applyAlignment="1">
      <alignment horizontal="center" vertical="center" wrapText="1"/>
    </xf>
    <xf numFmtId="0" fontId="47" fillId="9" borderId="46" xfId="0" applyFont="1" applyFill="1" applyBorder="1" applyAlignment="1">
      <alignment horizontal="center" vertical="center" wrapText="1"/>
    </xf>
    <xf numFmtId="0" fontId="47" fillId="9" borderId="47" xfId="0" applyFont="1" applyFill="1" applyBorder="1" applyAlignment="1">
      <alignment horizontal="center" vertical="center" wrapText="1"/>
    </xf>
    <xf numFmtId="0" fontId="43" fillId="8" borderId="45" xfId="0" applyFont="1" applyFill="1" applyBorder="1" applyAlignment="1">
      <alignment horizontal="center" vertical="center" wrapText="1"/>
    </xf>
    <xf numFmtId="0" fontId="0" fillId="8" borderId="46" xfId="0" applyFill="1" applyBorder="1" applyAlignment="1">
      <alignment horizontal="center" vertical="center" wrapText="1"/>
    </xf>
    <xf numFmtId="0" fontId="0" fillId="8" borderId="47" xfId="0" applyFill="1" applyBorder="1" applyAlignment="1">
      <alignment horizontal="center" vertical="center" wrapText="1"/>
    </xf>
    <xf numFmtId="0" fontId="32" fillId="8" borderId="45" xfId="0" applyFont="1" applyFill="1" applyBorder="1" applyAlignment="1">
      <alignment horizontal="center" vertical="top" wrapText="1"/>
    </xf>
    <xf numFmtId="0" fontId="32" fillId="8" borderId="46" xfId="0" applyFont="1" applyFill="1" applyBorder="1" applyAlignment="1">
      <alignment horizontal="center" vertical="top" wrapText="1"/>
    </xf>
    <xf numFmtId="0" fontId="32" fillId="8" borderId="47" xfId="0" applyFont="1" applyFill="1" applyBorder="1" applyAlignment="1">
      <alignment horizontal="center" vertical="top" wrapText="1"/>
    </xf>
    <xf numFmtId="0" fontId="0" fillId="8" borderId="45" xfId="0" applyFill="1" applyBorder="1" applyAlignment="1">
      <alignment horizontal="center" vertical="center" wrapText="1"/>
    </xf>
    <xf numFmtId="0" fontId="44" fillId="0" borderId="46" xfId="0" applyFont="1" applyFill="1" applyBorder="1" applyAlignment="1">
      <alignment horizontal="left" vertical="top" wrapText="1"/>
    </xf>
    <xf numFmtId="0" fontId="44" fillId="0" borderId="47" xfId="0" applyFont="1" applyFill="1" applyBorder="1" applyAlignment="1">
      <alignment horizontal="left" vertical="top" wrapText="1"/>
    </xf>
  </cellXfs>
  <cellStyles count="1">
    <cellStyle name="Normal" xfId="0" builtinId="0"/>
  </cellStyles>
  <dxfs count="13">
    <dxf>
      <font>
        <b/>
        <i val="0"/>
        <color rgb="FFC00000"/>
      </font>
    </dxf>
    <dxf>
      <font>
        <b/>
        <i val="0"/>
        <color rgb="FFC00000"/>
      </font>
    </dxf>
    <dxf>
      <font>
        <b/>
        <i val="0"/>
        <color rgb="FFC00000"/>
      </font>
    </dxf>
    <dxf>
      <font>
        <b/>
        <i val="0"/>
        <color rgb="FFC00000"/>
      </font>
      <fill>
        <patternFill>
          <bgColor theme="6" tint="0.59996337778862885"/>
        </patternFill>
      </fill>
    </dxf>
    <dxf>
      <font>
        <b/>
        <i val="0"/>
        <color rgb="FFC00000"/>
      </font>
      <fill>
        <patternFill>
          <bgColor theme="6" tint="0.59996337778862885"/>
        </patternFill>
      </fill>
    </dxf>
    <dxf>
      <font>
        <color rgb="FFC00000"/>
      </font>
      <fill>
        <patternFill patternType="solid">
          <bgColor theme="6" tint="0.59996337778862885"/>
        </patternFill>
      </fill>
    </dxf>
    <dxf>
      <font>
        <b/>
        <i val="0"/>
        <color rgb="FFC00000"/>
      </font>
      <fill>
        <patternFill>
          <bgColor theme="6" tint="0.59996337778862885"/>
        </patternFill>
      </fill>
    </dxf>
    <dxf>
      <font>
        <b/>
        <i val="0"/>
        <color rgb="FFC00000"/>
      </font>
      <fill>
        <patternFill>
          <bgColor theme="6" tint="0.59996337778862885"/>
        </patternFill>
      </fill>
    </dxf>
    <dxf>
      <font>
        <b/>
        <i val="0"/>
        <color rgb="FFC00000"/>
      </font>
    </dxf>
    <dxf>
      <font>
        <b/>
        <i val="0"/>
        <color rgb="FFC00000"/>
      </font>
    </dxf>
    <dxf>
      <font>
        <b/>
        <i val="0"/>
        <color rgb="FFC00000"/>
      </font>
      <fill>
        <patternFill patternType="none">
          <bgColor auto="1"/>
        </patternFill>
      </fill>
    </dxf>
    <dxf>
      <font>
        <b/>
        <i val="0"/>
        <color rgb="FFC00000"/>
      </font>
      <fill>
        <patternFill patternType="none">
          <bgColor auto="1"/>
        </patternFill>
      </fill>
    </dxf>
    <dxf>
      <font>
        <b/>
        <i val="0"/>
        <color rgb="FFC00000"/>
      </font>
      <fill>
        <patternFill patternType="none">
          <bgColor auto="1"/>
        </patternFill>
      </fill>
    </dxf>
  </dxfs>
  <tableStyles count="0" defaultTableStyle="TableStyleMedium9" defaultPivotStyle="PivotStyleLight16"/>
  <colors>
    <mruColors>
      <color rgb="FFD7E4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2:U36"/>
  <sheetViews>
    <sheetView showGridLines="0" showRowColHeaders="0" topLeftCell="B1" workbookViewId="0">
      <selection activeCell="M12" sqref="M12"/>
    </sheetView>
  </sheetViews>
  <sheetFormatPr defaultRowHeight="15" x14ac:dyDescent="0.25"/>
  <cols>
    <col min="1" max="1" width="12.42578125" customWidth="1"/>
    <col min="2" max="2" width="13.28515625" customWidth="1"/>
    <col min="3" max="3" width="10.28515625" customWidth="1"/>
    <col min="4" max="4" width="9.5703125" customWidth="1"/>
    <col min="5" max="5" width="12.7109375" customWidth="1"/>
    <col min="6" max="6" width="12.28515625" customWidth="1"/>
    <col min="7" max="7" width="14.7109375" customWidth="1"/>
    <col min="8" max="8" width="11.28515625" customWidth="1"/>
    <col min="9" max="9" width="10.85546875" customWidth="1"/>
    <col min="10" max="10" width="9.42578125" customWidth="1"/>
    <col min="11" max="11" width="7.7109375" customWidth="1"/>
    <col min="12" max="12" width="7.28515625" customWidth="1"/>
    <col min="13" max="13" width="17.28515625" customWidth="1"/>
    <col min="14" max="14" width="10.28515625" customWidth="1"/>
    <col min="15" max="15" width="8.42578125" customWidth="1"/>
    <col min="16" max="16" width="2.7109375" customWidth="1"/>
  </cols>
  <sheetData>
    <row r="2" spans="1:21" x14ac:dyDescent="0.25">
      <c r="A2" s="309" t="s">
        <v>16</v>
      </c>
      <c r="B2" s="310"/>
      <c r="C2" s="309" t="s">
        <v>0</v>
      </c>
      <c r="D2" s="310"/>
      <c r="E2" s="310"/>
      <c r="F2" s="311"/>
      <c r="G2" s="280" t="s">
        <v>6</v>
      </c>
      <c r="H2" s="280" t="s">
        <v>71</v>
      </c>
      <c r="J2" s="344" t="s">
        <v>113</v>
      </c>
      <c r="K2" s="346" t="s">
        <v>5</v>
      </c>
      <c r="L2" s="346"/>
      <c r="M2" s="337" t="s">
        <v>70</v>
      </c>
      <c r="N2" s="337" t="s">
        <v>112</v>
      </c>
      <c r="O2" s="338"/>
      <c r="Q2" s="320" t="s">
        <v>18</v>
      </c>
      <c r="R2" s="321"/>
      <c r="S2" s="321"/>
      <c r="T2" s="322"/>
      <c r="U2" s="172"/>
    </row>
    <row r="3" spans="1:21" ht="14.45" customHeight="1" x14ac:dyDescent="0.25">
      <c r="A3" s="307"/>
      <c r="B3" s="308"/>
      <c r="C3" s="307"/>
      <c r="D3" s="312"/>
      <c r="E3" s="312"/>
      <c r="F3" s="308"/>
      <c r="G3" s="281"/>
      <c r="H3" s="281"/>
      <c r="I3" s="174"/>
      <c r="J3" s="345"/>
      <c r="K3" s="347"/>
      <c r="L3" s="347"/>
      <c r="M3" s="339"/>
      <c r="N3" s="339"/>
      <c r="O3" s="340"/>
      <c r="Q3" s="323"/>
      <c r="R3" s="324"/>
      <c r="S3" s="324"/>
      <c r="T3" s="325"/>
      <c r="U3" s="171"/>
    </row>
    <row r="4" spans="1:21" x14ac:dyDescent="0.25">
      <c r="A4" s="315" t="s">
        <v>110</v>
      </c>
      <c r="B4" s="316"/>
      <c r="C4" s="317" t="s">
        <v>2</v>
      </c>
      <c r="D4" s="318"/>
      <c r="E4" s="317" t="s">
        <v>3</v>
      </c>
      <c r="F4" s="318"/>
      <c r="G4" s="309" t="s">
        <v>79</v>
      </c>
      <c r="H4" s="311"/>
      <c r="I4" s="174"/>
      <c r="J4" s="283" t="s">
        <v>445</v>
      </c>
      <c r="K4" s="333" t="s">
        <v>429</v>
      </c>
      <c r="L4" s="333"/>
      <c r="M4" s="287"/>
      <c r="N4" s="313" t="str">
        <f>IF(ISBLANK(Report!E12),"",Report!E12)</f>
        <v>PASS</v>
      </c>
      <c r="O4" s="314"/>
      <c r="Q4" s="326"/>
      <c r="R4" s="327"/>
      <c r="S4" s="327"/>
      <c r="T4" s="328"/>
      <c r="U4" s="171"/>
    </row>
    <row r="5" spans="1:21" x14ac:dyDescent="0.25">
      <c r="A5" s="302">
        <f>IF(ISBLANK(Envelope!B3),"",SUM(Envelope!B3:B5))</f>
        <v>1670</v>
      </c>
      <c r="B5" s="303"/>
      <c r="C5" s="302">
        <f>IF(ISBLANK(Envelope!D2),"",Envelope!D2)</f>
        <v>1</v>
      </c>
      <c r="D5" s="303"/>
      <c r="E5" s="302">
        <f>IF(ISBLANK(Envelope!D3),"",Envelope!D3)</f>
        <v>3</v>
      </c>
      <c r="F5" s="303"/>
      <c r="G5" s="302">
        <f>IF(ISBLANK(Envelope!D4),"",Envelope!D4)</f>
        <v>2</v>
      </c>
      <c r="H5" s="303"/>
      <c r="I5" s="174"/>
      <c r="J5" s="283"/>
      <c r="K5" s="333"/>
      <c r="L5" s="333"/>
      <c r="M5" s="287"/>
      <c r="N5" s="313"/>
      <c r="O5" s="314"/>
      <c r="Q5" s="326"/>
      <c r="R5" s="327"/>
      <c r="S5" s="327"/>
      <c r="T5" s="328"/>
      <c r="U5" s="171"/>
    </row>
    <row r="6" spans="1:21" x14ac:dyDescent="0.25">
      <c r="A6" s="309" t="s">
        <v>376</v>
      </c>
      <c r="B6" s="311"/>
      <c r="C6" s="309" t="s">
        <v>377</v>
      </c>
      <c r="D6" s="310"/>
      <c r="E6" s="311"/>
      <c r="F6" s="280" t="s">
        <v>102</v>
      </c>
      <c r="G6" s="309" t="s">
        <v>427</v>
      </c>
      <c r="H6" s="311"/>
      <c r="I6" s="174"/>
      <c r="J6" s="283"/>
      <c r="K6" s="333"/>
      <c r="L6" s="333"/>
      <c r="M6" s="180"/>
      <c r="N6" s="313" t="str">
        <f>IF(ISBLANK(Report!E22),"",Report!E22)</f>
        <v/>
      </c>
      <c r="O6" s="314"/>
      <c r="Q6" s="326"/>
      <c r="R6" s="327"/>
      <c r="S6" s="327"/>
      <c r="T6" s="328"/>
      <c r="U6" s="171"/>
    </row>
    <row r="7" spans="1:21" x14ac:dyDescent="0.25">
      <c r="A7" s="302" t="str">
        <f>IF(ISBLANK(Envelope!B1),"",Envelope!B1)</f>
        <v>S</v>
      </c>
      <c r="B7" s="303"/>
      <c r="C7" s="302">
        <f>IF(ISBLANK(Envelope!B2),"",Envelope!B2)</f>
        <v>16</v>
      </c>
      <c r="D7" s="304"/>
      <c r="E7" s="303"/>
      <c r="F7" s="281"/>
      <c r="G7" s="307"/>
      <c r="H7" s="308"/>
      <c r="I7" s="174"/>
      <c r="J7" s="283"/>
      <c r="K7" s="333"/>
      <c r="L7" s="333"/>
      <c r="M7" s="180"/>
      <c r="N7" s="313" t="str">
        <f>IF(ISBLANK(Report!E27),"",Report!E27)</f>
        <v/>
      </c>
      <c r="O7" s="314"/>
      <c r="Q7" s="326"/>
      <c r="R7" s="327"/>
      <c r="S7" s="327"/>
      <c r="T7" s="328"/>
      <c r="U7" s="171"/>
    </row>
    <row r="8" spans="1:21" x14ac:dyDescent="0.25">
      <c r="A8" s="53"/>
      <c r="B8" s="53"/>
      <c r="H8" s="15"/>
      <c r="I8" s="174"/>
      <c r="J8" s="283"/>
      <c r="K8" s="333"/>
      <c r="L8" s="333"/>
      <c r="M8" s="180"/>
      <c r="N8" s="313" t="str">
        <f>IF(ISBLANK(Report!E31),"",Report!E31)</f>
        <v/>
      </c>
      <c r="O8" s="314"/>
      <c r="Q8" s="326"/>
      <c r="R8" s="327"/>
      <c r="S8" s="327"/>
      <c r="T8" s="328"/>
      <c r="U8" s="171"/>
    </row>
    <row r="9" spans="1:21" x14ac:dyDescent="0.25">
      <c r="A9" s="13"/>
      <c r="B9" s="14"/>
      <c r="C9" s="13"/>
      <c r="D9" s="306" t="s">
        <v>21</v>
      </c>
      <c r="E9" s="306"/>
      <c r="F9" s="306"/>
      <c r="G9" s="306"/>
      <c r="H9" s="306"/>
      <c r="I9" s="174"/>
      <c r="J9" s="348"/>
      <c r="K9" s="348"/>
      <c r="L9" s="319"/>
      <c r="M9" s="319"/>
      <c r="N9" s="319"/>
      <c r="O9" s="319"/>
      <c r="Q9" s="326"/>
      <c r="R9" s="327"/>
      <c r="S9" s="327"/>
      <c r="T9" s="328"/>
      <c r="U9" s="171"/>
    </row>
    <row r="10" spans="1:21" x14ac:dyDescent="0.25">
      <c r="A10" s="305" t="s">
        <v>22</v>
      </c>
      <c r="B10" s="305"/>
      <c r="E10" s="298" t="s">
        <v>19</v>
      </c>
      <c r="F10" s="298"/>
      <c r="G10" s="299" t="s">
        <v>20</v>
      </c>
      <c r="H10" s="299"/>
      <c r="I10" s="13"/>
      <c r="Q10" s="326"/>
      <c r="R10" s="327"/>
      <c r="S10" s="327"/>
      <c r="T10" s="328"/>
      <c r="U10" s="171"/>
    </row>
    <row r="11" spans="1:21" ht="15.75" thickBot="1" x14ac:dyDescent="0.3">
      <c r="A11" s="19" t="s">
        <v>76</v>
      </c>
      <c r="B11" s="27">
        <f>Performance!A2</f>
        <v>129.54560894522456</v>
      </c>
      <c r="D11" s="250"/>
      <c r="E11" s="251" t="s">
        <v>394</v>
      </c>
      <c r="F11" s="252" t="s">
        <v>393</v>
      </c>
      <c r="G11" s="251" t="s">
        <v>394</v>
      </c>
      <c r="H11" s="249" t="s">
        <v>393</v>
      </c>
      <c r="I11" s="13"/>
      <c r="Q11" s="326"/>
      <c r="R11" s="327"/>
      <c r="S11" s="327"/>
      <c r="T11" s="328"/>
      <c r="U11" s="171"/>
    </row>
    <row r="12" spans="1:21" x14ac:dyDescent="0.25">
      <c r="A12" s="20" t="s">
        <v>77</v>
      </c>
      <c r="B12" s="28">
        <f>Performance!A3</f>
        <v>0.78237424812560152</v>
      </c>
      <c r="D12" s="22" t="s">
        <v>126</v>
      </c>
      <c r="E12" s="17" t="str">
        <f>IF(ISBLANK(Performance!B9),"",AVERAGE(Performance!B9:C9))</f>
        <v/>
      </c>
      <c r="F12" s="248" t="str">
        <f>IF(ISBLANK(Performance!D9),"",Performance!D9)</f>
        <v/>
      </c>
      <c r="G12" s="17" t="str">
        <f>IF(ISBLANK(Performance!E9),"",AVERAGE(Performance!E9:F9))</f>
        <v/>
      </c>
      <c r="H12" s="248" t="str">
        <f>IF(ISBLANK(Performance!G9),"",Performance!G9)</f>
        <v/>
      </c>
      <c r="I12" s="13"/>
      <c r="J12" s="334" t="s">
        <v>17</v>
      </c>
      <c r="K12" s="334"/>
      <c r="M12" s="13"/>
      <c r="Q12" s="326"/>
      <c r="R12" s="327"/>
      <c r="S12" s="327"/>
      <c r="T12" s="328"/>
      <c r="U12" s="171"/>
    </row>
    <row r="13" spans="1:21" x14ac:dyDescent="0.25">
      <c r="A13" s="20" t="s">
        <v>78</v>
      </c>
      <c r="B13" s="28">
        <f>Performance!A4</f>
        <v>0.99308128562387332</v>
      </c>
      <c r="D13" s="22" t="s">
        <v>385</v>
      </c>
      <c r="E13" s="29" t="str">
        <f>IF(ISBLANK(Performance!B10),"",AVERAGE(Performance!B10:C10))</f>
        <v/>
      </c>
      <c r="F13" s="246" t="str">
        <f>IF(ISBLANK(Performance!D10),"",Performance!D10)</f>
        <v/>
      </c>
      <c r="G13" s="29" t="str">
        <f>IF(ISBLANK(Performance!E10),"",AVERAGE(Performance!E10:F10))</f>
        <v/>
      </c>
      <c r="H13" s="246" t="str">
        <f>IF(ISBLANK(Performance!G10),"",Performance!G10)</f>
        <v/>
      </c>
      <c r="I13" s="13"/>
      <c r="J13" s="25" t="s">
        <v>82</v>
      </c>
      <c r="K13" s="25" t="s">
        <v>83</v>
      </c>
      <c r="M13" s="13"/>
      <c r="N13" s="53"/>
      <c r="Q13" s="326"/>
      <c r="R13" s="327"/>
      <c r="S13" s="327"/>
      <c r="T13" s="328"/>
      <c r="U13" s="171"/>
    </row>
    <row r="14" spans="1:21" ht="14.45" customHeight="1" x14ac:dyDescent="0.25">
      <c r="A14" s="21" t="s">
        <v>81</v>
      </c>
      <c r="B14" s="30">
        <f>Performance!A1</f>
        <v>6.208231072107222</v>
      </c>
      <c r="D14" s="22" t="s">
        <v>392</v>
      </c>
      <c r="E14" s="29" t="str">
        <f>IF(ISBLANK(Performance!B11),"",AVERAGE(Performance!B11:C11))</f>
        <v/>
      </c>
      <c r="F14" s="247" t="str">
        <f>IF(ISBLANK(Performance!D11),"",Performance!D11)</f>
        <v/>
      </c>
      <c r="G14" s="29" t="str">
        <f>IF(ISBLANK(Performance!E11),"",AVERAGE(Performance!E11:F11))</f>
        <v/>
      </c>
      <c r="H14" s="246" t="str">
        <f>IF(ISBLANK(Performance!G11),"",Performance!G11)</f>
        <v/>
      </c>
      <c r="I14" s="13"/>
      <c r="J14" s="29" t="str">
        <f>IF(Performance!F15&gt;0,Performance!F15,"N/A")</f>
        <v>N/A</v>
      </c>
      <c r="K14" s="17" t="str">
        <f>IF(Performance!G15&gt;0,Performance!G15,"N/A")</f>
        <v>N/A</v>
      </c>
      <c r="N14" s="173"/>
      <c r="Q14" s="326"/>
      <c r="R14" s="327"/>
      <c r="S14" s="327"/>
      <c r="T14" s="328"/>
      <c r="U14" s="171"/>
    </row>
    <row r="15" spans="1:21" x14ac:dyDescent="0.25">
      <c r="A15" s="18"/>
      <c r="B15" s="12"/>
      <c r="C15" s="12"/>
      <c r="I15" s="13"/>
      <c r="N15" s="173"/>
      <c r="Q15" s="326"/>
      <c r="R15" s="327"/>
      <c r="S15" s="327"/>
      <c r="T15" s="328"/>
      <c r="U15" s="171"/>
    </row>
    <row r="16" spans="1:21" x14ac:dyDescent="0.25">
      <c r="A16" s="305" t="s">
        <v>80</v>
      </c>
      <c r="B16" s="305"/>
      <c r="C16" s="305"/>
      <c r="D16" s="305"/>
      <c r="E16" s="305"/>
      <c r="G16" s="305" t="s">
        <v>84</v>
      </c>
      <c r="H16" s="305"/>
      <c r="I16" s="305"/>
      <c r="J16" s="305"/>
      <c r="K16" s="305"/>
      <c r="N16" s="173"/>
      <c r="O16" s="13"/>
      <c r="Q16" s="326"/>
      <c r="R16" s="327"/>
      <c r="S16" s="327"/>
      <c r="T16" s="328"/>
      <c r="U16" s="171"/>
    </row>
    <row r="17" spans="1:21" x14ac:dyDescent="0.25">
      <c r="A17" s="24" t="s">
        <v>14</v>
      </c>
      <c r="B17" s="25" t="s">
        <v>85</v>
      </c>
      <c r="C17" s="26" t="s">
        <v>86</v>
      </c>
      <c r="D17" s="25" t="s">
        <v>87</v>
      </c>
      <c r="E17" s="25" t="s">
        <v>88</v>
      </c>
      <c r="G17" s="24" t="s">
        <v>9</v>
      </c>
      <c r="H17" s="24" t="s">
        <v>10</v>
      </c>
      <c r="I17" s="24" t="s">
        <v>11</v>
      </c>
      <c r="J17" s="24" t="s">
        <v>12</v>
      </c>
      <c r="K17" s="24" t="s">
        <v>13</v>
      </c>
      <c r="N17" s="173"/>
      <c r="Q17" s="326"/>
      <c r="R17" s="327"/>
      <c r="S17" s="327"/>
      <c r="T17" s="328"/>
      <c r="U17" s="171"/>
    </row>
    <row r="18" spans="1:21" x14ac:dyDescent="0.25">
      <c r="A18" s="17" t="str">
        <f>IF(ISNUMBER(Performance!B20),Performance!B20," ")</f>
        <v xml:space="preserve"> </v>
      </c>
      <c r="B18" s="17" t="str">
        <f>IF(ISNUMBER(Performance!C20),Performance!C20," ")</f>
        <v xml:space="preserve"> </v>
      </c>
      <c r="C18" s="17" t="str">
        <f>IF(ISNUMBER(Performance!D20),Performance!D20," ")</f>
        <v xml:space="preserve"> </v>
      </c>
      <c r="D18" s="17" t="str">
        <f>IF(ISNUMBER(Performance!E20),Performance!E20," ")</f>
        <v xml:space="preserve"> </v>
      </c>
      <c r="E18" s="17" t="str">
        <f>IF(ISNUMBER(Performance!F20),Performance!F20," ")</f>
        <v xml:space="preserve"> </v>
      </c>
      <c r="G18" s="17" t="str">
        <f>IF(ISNUMBER(Performance!B22),Performance!B22," ")</f>
        <v xml:space="preserve"> </v>
      </c>
      <c r="H18" s="17" t="str">
        <f>IF(ISNUMBER(Performance!C22),Performance!C22," ")</f>
        <v xml:space="preserve"> </v>
      </c>
      <c r="I18" s="17" t="str">
        <f>IF(ISNUMBER(Performance!D22),Performance!D22," ")</f>
        <v xml:space="preserve"> </v>
      </c>
      <c r="J18" s="17" t="str">
        <f>IF(ISNUMBER(Performance!E22),Performance!E22," ")</f>
        <v xml:space="preserve"> </v>
      </c>
      <c r="K18" s="17" t="str">
        <f>IF(ISNUMBER(Performance!F22),Performance!F22," ")</f>
        <v xml:space="preserve"> </v>
      </c>
      <c r="N18" s="173"/>
      <c r="Q18" s="326"/>
      <c r="R18" s="327"/>
      <c r="S18" s="327"/>
      <c r="T18" s="328"/>
      <c r="U18" s="171"/>
    </row>
    <row r="19" spans="1:21" x14ac:dyDescent="0.25">
      <c r="A19" s="18"/>
      <c r="B19" s="13"/>
      <c r="C19" s="13"/>
      <c r="D19" s="13"/>
      <c r="E19" s="13"/>
      <c r="F19" s="13"/>
      <c r="N19" s="53"/>
      <c r="Q19" s="326"/>
      <c r="R19" s="327"/>
      <c r="S19" s="327"/>
      <c r="T19" s="328"/>
      <c r="U19" s="171"/>
    </row>
    <row r="20" spans="1:21" x14ac:dyDescent="0.25">
      <c r="A20" s="18"/>
      <c r="B20" s="334" t="s">
        <v>95</v>
      </c>
      <c r="C20" s="334"/>
      <c r="E20" s="305" t="s">
        <v>37</v>
      </c>
      <c r="F20" s="305"/>
      <c r="G20" s="305"/>
      <c r="H20" s="305"/>
      <c r="I20" s="305"/>
      <c r="J20" s="335" t="str">
        <f>IF(Report!A37&lt;&gt;"","Check notes on Report tab!","")</f>
        <v/>
      </c>
      <c r="K20" s="336"/>
      <c r="L20" s="336"/>
      <c r="M20" s="336"/>
      <c r="Q20" s="326"/>
      <c r="R20" s="327"/>
      <c r="S20" s="327"/>
      <c r="T20" s="328"/>
      <c r="U20" s="171"/>
    </row>
    <row r="21" spans="1:21" x14ac:dyDescent="0.25">
      <c r="A21" s="14"/>
      <c r="B21" s="215" t="s">
        <v>6</v>
      </c>
      <c r="C21" s="215" t="s">
        <v>89</v>
      </c>
      <c r="E21" s="38"/>
      <c r="F21" s="39" t="s">
        <v>89</v>
      </c>
      <c r="G21" s="39" t="s">
        <v>6</v>
      </c>
      <c r="H21" s="41" t="s">
        <v>38</v>
      </c>
      <c r="I21" s="43" t="s">
        <v>41</v>
      </c>
      <c r="Q21" s="326"/>
      <c r="R21" s="327"/>
      <c r="S21" s="327"/>
      <c r="T21" s="328"/>
      <c r="U21" s="171"/>
    </row>
    <row r="22" spans="1:21" x14ac:dyDescent="0.25">
      <c r="A22" s="23" t="s">
        <v>90</v>
      </c>
      <c r="B22" s="29" t="str">
        <f>IF(ISBLANK(HVAC!B7),"",HVAC!B7)</f>
        <v/>
      </c>
      <c r="C22" s="343" t="str">
        <f>IF(ISBLANK(HVAC!B5),"",HVAC!B5)</f>
        <v/>
      </c>
      <c r="D22" s="13"/>
      <c r="E22" s="34" t="s">
        <v>30</v>
      </c>
      <c r="F22" s="16" t="str">
        <f>IF(ISBLANK(Appliances!F5),"",Appliances!F5)</f>
        <v>Whirlpool</v>
      </c>
      <c r="G22" s="35" t="str">
        <f>IF(ISBLANK(Appliances!F4),"",Appliances!F4)</f>
        <v>WRT138</v>
      </c>
      <c r="H22" s="42"/>
      <c r="I22" s="33"/>
      <c r="J22" s="335" t="str">
        <f>IF(Envelope!A18&lt;&gt;"","Check notes on Envelope tab!","")</f>
        <v/>
      </c>
      <c r="K22" s="336"/>
      <c r="L22" s="336"/>
      <c r="M22" s="336"/>
      <c r="N22" s="53"/>
      <c r="Q22" s="326"/>
      <c r="R22" s="327"/>
      <c r="S22" s="327"/>
      <c r="T22" s="328"/>
      <c r="U22" s="171"/>
    </row>
    <row r="23" spans="1:21" ht="15.75" thickBot="1" x14ac:dyDescent="0.3">
      <c r="A23" s="23" t="s">
        <v>91</v>
      </c>
      <c r="B23" s="52" t="str">
        <f>IF(ISBLANK(HVAC!B6),"",HVAC!B6)</f>
        <v/>
      </c>
      <c r="C23" s="342"/>
      <c r="E23" s="34" t="s">
        <v>32</v>
      </c>
      <c r="F23" s="16" t="str">
        <f>IF(ISBLANK(Appliances!E5),"",Appliances!E5)</f>
        <v/>
      </c>
      <c r="G23" s="35" t="str">
        <f>IF(ISBLANK(Appliances!E4),"",Appliances!E4)</f>
        <v>na</v>
      </c>
      <c r="H23" s="42"/>
      <c r="I23" s="33"/>
      <c r="N23" s="53"/>
      <c r="Q23" s="326"/>
      <c r="R23" s="327"/>
      <c r="S23" s="327"/>
      <c r="T23" s="328"/>
      <c r="U23" s="171"/>
    </row>
    <row r="24" spans="1:21" x14ac:dyDescent="0.25">
      <c r="A24" s="23" t="s">
        <v>92</v>
      </c>
      <c r="B24" s="217" t="str">
        <f>IF(ISBLANK(HVAC!C7),"",HVAC!C7)</f>
        <v/>
      </c>
      <c r="C24" s="341" t="str">
        <f>IF(ISBLANK(HVAC!C5),"",HVAC!C5)</f>
        <v/>
      </c>
      <c r="E24" s="44" t="s">
        <v>31</v>
      </c>
      <c r="F24" s="35" t="str">
        <f>IF(ISBLANK(Appliances!D5),"",Appliances!D5)</f>
        <v/>
      </c>
      <c r="G24" s="35">
        <f>+Appliances!D4</f>
        <v>0</v>
      </c>
      <c r="H24" s="40" t="str">
        <f>IF(ISBLANK(Appliances!D3),"",Appliances!D3)</f>
        <v>interior</v>
      </c>
      <c r="I24" s="33"/>
      <c r="J24" s="335" t="str">
        <f>IF(HVAC!A13&lt;&gt;"","Check notes on HVAC tab!","")</f>
        <v/>
      </c>
      <c r="K24" s="332"/>
      <c r="L24" s="332"/>
      <c r="M24" s="332"/>
      <c r="N24" s="53"/>
      <c r="Q24" s="326"/>
      <c r="R24" s="327"/>
      <c r="S24" s="327"/>
      <c r="T24" s="328"/>
      <c r="U24" s="171"/>
    </row>
    <row r="25" spans="1:21" ht="15" customHeight="1" thickBot="1" x14ac:dyDescent="0.3">
      <c r="A25" s="23" t="s">
        <v>93</v>
      </c>
      <c r="B25" s="52" t="str">
        <f>IF(ISBLANK(HVAC!C6),"",HVAC!C6)</f>
        <v/>
      </c>
      <c r="C25" s="342"/>
      <c r="E25" s="34" t="s">
        <v>33</v>
      </c>
      <c r="F25" s="35" t="str">
        <f>IF(ISBLANK(Appliances!C5),"",Appliances!C5)</f>
        <v/>
      </c>
      <c r="G25" s="35">
        <f>+Appliances!C4</f>
        <v>0</v>
      </c>
      <c r="H25" s="40" t="str">
        <f>IF(ISBLANK(Appliances!C3),"",Appliances!C3)</f>
        <v>interior</v>
      </c>
      <c r="I25" s="36" t="str">
        <f>IF(ISBLANK(Appliances!C2),"",Appliances!C2)</f>
        <v>electricity</v>
      </c>
      <c r="N25" s="53"/>
      <c r="Q25" s="326"/>
      <c r="R25" s="327"/>
      <c r="S25" s="327"/>
      <c r="T25" s="328"/>
      <c r="U25" s="171"/>
    </row>
    <row r="26" spans="1:21" x14ac:dyDescent="0.25">
      <c r="A26" s="216" t="s">
        <v>395</v>
      </c>
      <c r="B26" s="17" t="str">
        <f>IF(ISBLANK(HVAC!D7),"",HVAC!D7)</f>
        <v/>
      </c>
      <c r="C26" s="300" t="str">
        <f>IF(ISBLANK(HVAC!D5),"",HVAC!D5)</f>
        <v/>
      </c>
      <c r="E26" s="34" t="s">
        <v>34</v>
      </c>
      <c r="F26" s="37"/>
      <c r="G26" s="37"/>
      <c r="H26" s="42"/>
      <c r="I26" s="36" t="str">
        <f>IF(ISBLANK(Appliances!B2),"",Appliances!B2)</f>
        <v>electricity</v>
      </c>
      <c r="J26" s="335" t="str">
        <f>IF(Appliances!A17&lt;&gt;"","Check notes on Appliances tab!","")</f>
        <v>Check notes on Appliances tab!</v>
      </c>
      <c r="K26" s="332"/>
      <c r="L26" s="332"/>
      <c r="M26" s="332"/>
      <c r="N26" s="53"/>
      <c r="Q26" s="326"/>
      <c r="R26" s="327"/>
      <c r="S26" s="327"/>
      <c r="T26" s="328"/>
      <c r="U26" s="171"/>
    </row>
    <row r="27" spans="1:21" x14ac:dyDescent="0.25">
      <c r="A27" s="216" t="s">
        <v>396</v>
      </c>
      <c r="B27" s="29" t="str">
        <f>IF(ISBLANK(HVAC!D6),"",HVAC!D6)</f>
        <v/>
      </c>
      <c r="C27" s="301"/>
      <c r="E27" s="34" t="s">
        <v>97</v>
      </c>
      <c r="F27" s="35" t="str">
        <f>IF(ISBLANK(Appliances!E8),"",Appliances!E8)</f>
        <v>other</v>
      </c>
      <c r="G27" s="35" t="str">
        <f>IF(ISBLANK(Appliances!D8),"",Appliances!D8)</f>
        <v>RE340T6</v>
      </c>
      <c r="H27" s="40" t="str">
        <f>IF(ISBLANK(Appliances!C8),"",Appliances!C8)</f>
        <v>interior</v>
      </c>
      <c r="I27" s="36" t="str">
        <f>IF(ISBLANK(Appliances!B8),"",Appliances!B8)</f>
        <v>electricity</v>
      </c>
      <c r="N27" s="53"/>
      <c r="Q27" s="326"/>
      <c r="R27" s="327"/>
      <c r="S27" s="327"/>
      <c r="T27" s="328"/>
      <c r="U27" s="171"/>
    </row>
    <row r="28" spans="1:21" x14ac:dyDescent="0.25">
      <c r="E28" s="22"/>
      <c r="F28" s="31"/>
      <c r="G28" s="31"/>
      <c r="H28" s="32"/>
      <c r="I28" s="32"/>
      <c r="J28" s="332" t="str">
        <f>IF(Performance!A25&lt;&gt;"","Check notes on Performance tab!","")</f>
        <v/>
      </c>
      <c r="K28" s="332"/>
      <c r="L28" s="332"/>
      <c r="M28" s="332"/>
      <c r="N28" s="87"/>
      <c r="Q28" s="326"/>
      <c r="R28" s="327"/>
      <c r="S28" s="327"/>
      <c r="T28" s="328"/>
      <c r="U28" s="171"/>
    </row>
    <row r="29" spans="1:21" x14ac:dyDescent="0.25">
      <c r="B29" s="305" t="s">
        <v>103</v>
      </c>
      <c r="C29" s="305"/>
      <c r="D29" s="305"/>
      <c r="E29" s="14"/>
      <c r="F29" s="46" t="s">
        <v>104</v>
      </c>
      <c r="H29" s="45" t="s">
        <v>105</v>
      </c>
      <c r="N29" s="53"/>
      <c r="Q29" s="326"/>
      <c r="R29" s="327"/>
      <c r="S29" s="327"/>
      <c r="T29" s="328"/>
      <c r="U29" s="171"/>
    </row>
    <row r="30" spans="1:21" x14ac:dyDescent="0.25">
      <c r="A30" s="14"/>
      <c r="B30" s="34" t="s">
        <v>40</v>
      </c>
      <c r="C30" s="39" t="s">
        <v>44</v>
      </c>
      <c r="D30" s="43" t="s">
        <v>39</v>
      </c>
      <c r="E30" s="14"/>
      <c r="F30" s="29" t="str">
        <f>IF(ISBLANK(Appliances!C11),"",Appliances!C11)</f>
        <v/>
      </c>
      <c r="G30" s="14"/>
      <c r="H30" s="29" t="str">
        <f>IF(ISBLANK(Appliances!E11),"",Appliances!E11)</f>
        <v>no</v>
      </c>
      <c r="I30" s="14"/>
      <c r="K30" s="69"/>
      <c r="L30" s="69"/>
      <c r="M30" s="70"/>
      <c r="N30" s="53"/>
      <c r="Q30" s="326"/>
      <c r="R30" s="327"/>
      <c r="S30" s="327"/>
      <c r="T30" s="328"/>
      <c r="U30" s="171"/>
    </row>
    <row r="31" spans="1:21" x14ac:dyDescent="0.25">
      <c r="A31" s="23" t="s">
        <v>100</v>
      </c>
      <c r="B31" s="29" t="str">
        <f>IF(ISBLANK(Appliances!C13),"",Appliances!C13)</f>
        <v/>
      </c>
      <c r="C31" s="29" t="str">
        <f>IF(ISBLANK(Appliances!C14),"",Appliances!C14)</f>
        <v/>
      </c>
      <c r="D31" s="29" t="str">
        <f>IF(ISBLANK(Appliances!C15),"",Appliances!C15)</f>
        <v>NA</v>
      </c>
      <c r="E31" s="14"/>
      <c r="G31" s="14"/>
      <c r="I31" s="14"/>
      <c r="Q31" s="329"/>
      <c r="R31" s="330"/>
      <c r="S31" s="330"/>
      <c r="T31" s="331"/>
      <c r="U31" s="171"/>
    </row>
    <row r="32" spans="1:21" x14ac:dyDescent="0.25">
      <c r="A32" s="23" t="s">
        <v>101</v>
      </c>
      <c r="B32" s="29" t="str">
        <f>IF(ISBLANK(Appliances!D13),"",Appliances!D13)</f>
        <v/>
      </c>
      <c r="C32" s="29" t="str">
        <f>IF(ISBLANK(Appliances!D14),"",Appliances!D14)</f>
        <v/>
      </c>
      <c r="D32" s="29" t="str">
        <f>IF(ISBLANK(Appliances!D15),"",Appliances!D15)</f>
        <v>NA</v>
      </c>
      <c r="E32" s="13"/>
      <c r="F32" s="1"/>
      <c r="G32" s="13"/>
      <c r="H32" s="13"/>
      <c r="I32" s="13"/>
    </row>
    <row r="33" spans="1:9" x14ac:dyDescent="0.25">
      <c r="A33" s="1"/>
      <c r="B33" s="1"/>
      <c r="C33" s="1"/>
      <c r="D33" s="1"/>
      <c r="E33" s="1"/>
      <c r="F33" s="1"/>
      <c r="G33" s="1"/>
      <c r="H33" s="1"/>
      <c r="I33" s="1"/>
    </row>
    <row r="34" spans="1:9" x14ac:dyDescent="0.25">
      <c r="A34" s="1"/>
      <c r="B34" s="1"/>
      <c r="C34" s="1"/>
      <c r="D34" s="1"/>
      <c r="E34" s="1"/>
      <c r="F34" s="1"/>
      <c r="G34" s="1"/>
      <c r="H34" s="1"/>
      <c r="I34" s="1"/>
    </row>
    <row r="35" spans="1:9" x14ac:dyDescent="0.25">
      <c r="A35" s="1"/>
      <c r="B35" s="1"/>
      <c r="C35" s="1"/>
      <c r="D35" s="1"/>
      <c r="E35" s="1"/>
      <c r="F35" s="1"/>
      <c r="G35" s="1"/>
      <c r="H35" s="1"/>
      <c r="I35" s="1"/>
    </row>
    <row r="36" spans="1:9" x14ac:dyDescent="0.25">
      <c r="A36" s="1"/>
      <c r="B36" s="1"/>
      <c r="C36" s="1"/>
      <c r="D36" s="1"/>
      <c r="E36" s="1"/>
      <c r="G36" s="1"/>
      <c r="H36" s="1"/>
      <c r="I36" s="1"/>
    </row>
  </sheetData>
  <sheetProtection password="CC15" sheet="1" objects="1" scenarios="1"/>
  <mergeCells count="54">
    <mergeCell ref="J20:M20"/>
    <mergeCell ref="A3:B3"/>
    <mergeCell ref="A2:B2"/>
    <mergeCell ref="B29:D29"/>
    <mergeCell ref="C24:C25"/>
    <mergeCell ref="C22:C23"/>
    <mergeCell ref="A16:E16"/>
    <mergeCell ref="B20:C20"/>
    <mergeCell ref="E20:I20"/>
    <mergeCell ref="G16:K16"/>
    <mergeCell ref="J26:M26"/>
    <mergeCell ref="J24:M24"/>
    <mergeCell ref="J2:J3"/>
    <mergeCell ref="K2:L3"/>
    <mergeCell ref="M2:M3"/>
    <mergeCell ref="J9:K9"/>
    <mergeCell ref="L9:O9"/>
    <mergeCell ref="Q2:T2"/>
    <mergeCell ref="Q3:T31"/>
    <mergeCell ref="J28:M28"/>
    <mergeCell ref="K5:L5"/>
    <mergeCell ref="K6:L6"/>
    <mergeCell ref="K7:L7"/>
    <mergeCell ref="K8:L8"/>
    <mergeCell ref="J12:K12"/>
    <mergeCell ref="J22:M22"/>
    <mergeCell ref="N2:O3"/>
    <mergeCell ref="N8:O8"/>
    <mergeCell ref="K4:L4"/>
    <mergeCell ref="N4:O4"/>
    <mergeCell ref="N5:O5"/>
    <mergeCell ref="N6:O6"/>
    <mergeCell ref="C2:F2"/>
    <mergeCell ref="C3:F3"/>
    <mergeCell ref="N7:O7"/>
    <mergeCell ref="A5:B5"/>
    <mergeCell ref="C6:E6"/>
    <mergeCell ref="A4:B4"/>
    <mergeCell ref="C4:D4"/>
    <mergeCell ref="E4:F4"/>
    <mergeCell ref="G4:H4"/>
    <mergeCell ref="A6:B6"/>
    <mergeCell ref="E5:F5"/>
    <mergeCell ref="G5:H5"/>
    <mergeCell ref="C5:D5"/>
    <mergeCell ref="G6:H6"/>
    <mergeCell ref="E10:F10"/>
    <mergeCell ref="G10:H10"/>
    <mergeCell ref="C26:C27"/>
    <mergeCell ref="A7:B7"/>
    <mergeCell ref="C7:E7"/>
    <mergeCell ref="A10:B10"/>
    <mergeCell ref="D9:H9"/>
    <mergeCell ref="G7:H7"/>
  </mergeCells>
  <conditionalFormatting sqref="B13">
    <cfRule type="cellIs" dxfId="12" priority="15" operator="between">
      <formula>0.01</formula>
      <formula>0.98</formula>
    </cfRule>
  </conditionalFormatting>
  <conditionalFormatting sqref="B12">
    <cfRule type="cellIs" dxfId="11" priority="14" operator="notBetween">
      <formula>0.51</formula>
      <formula>0.79</formula>
    </cfRule>
  </conditionalFormatting>
  <conditionalFormatting sqref="N4:N8">
    <cfRule type="containsText" dxfId="10" priority="12" operator="containsText" text="FAIL">
      <formula>NOT(ISERROR(SEARCH("FAIL",N4)))</formula>
    </cfRule>
  </conditionalFormatting>
  <conditionalFormatting sqref="F12:F14">
    <cfRule type="cellIs" dxfId="9" priority="2" operator="greaterThan">
      <formula>0.080001</formula>
    </cfRule>
  </conditionalFormatting>
  <conditionalFormatting sqref="H12:H14">
    <cfRule type="cellIs" dxfId="8" priority="1" operator="greaterThan">
      <formula>0.040001</formula>
    </cfRule>
  </conditionalFormatting>
  <dataValidations count="2">
    <dataValidation type="list" allowBlank="1" showInputMessage="1" showErrorMessage="1" sqref="F7" xr:uid="{00000000-0002-0000-0000-000000000000}">
      <formula1>"HERS,EnergyStar,LEED-H, LEED-NC,NGBS,FGBC,FGBC &amp; E*"</formula1>
    </dataValidation>
    <dataValidation type="list" allowBlank="1" showInputMessage="1" showErrorMessage="1" sqref="K4:L8" xr:uid="{00000000-0002-0000-0000-000001000000}">
      <formula1>"MID,MID re-inspect,FINAL,FINAL re-inspect"</formula1>
    </dataValidation>
  </dataValidations>
  <pageMargins left="0.2" right="0.2" top="0.25" bottom="0.25" header="0.3" footer="0.3"/>
  <pageSetup orientation="landscape" r:id="rId1"/>
  <ignoredErrors>
    <ignoredError sqref="A5" formulaRange="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F68"/>
  <sheetViews>
    <sheetView showGridLines="0" showRowColHeaders="0" workbookViewId="0">
      <selection activeCell="D76" sqref="D76"/>
    </sheetView>
  </sheetViews>
  <sheetFormatPr defaultRowHeight="15" x14ac:dyDescent="0.25"/>
  <cols>
    <col min="1" max="1" width="98.7109375" customWidth="1"/>
    <col min="2" max="3" width="8.5703125" customWidth="1"/>
    <col min="4" max="4" width="10" customWidth="1"/>
    <col min="5" max="5" width="8.5703125" customWidth="1"/>
  </cols>
  <sheetData>
    <row r="1" spans="1:5" ht="18" x14ac:dyDescent="0.25">
      <c r="A1" s="161" t="s">
        <v>370</v>
      </c>
      <c r="B1" s="123"/>
      <c r="C1" s="123"/>
      <c r="D1" s="123"/>
      <c r="E1" s="123"/>
    </row>
    <row r="2" spans="1:5" ht="18" x14ac:dyDescent="0.25">
      <c r="A2" s="161" t="s">
        <v>371</v>
      </c>
      <c r="B2" s="123"/>
      <c r="C2" s="123"/>
      <c r="D2" s="123"/>
      <c r="E2" s="123"/>
    </row>
    <row r="3" spans="1:5" ht="20.45" customHeight="1" x14ac:dyDescent="0.25">
      <c r="A3" s="162" t="str">
        <f>IF(ISBLANK(Report!B1),"",Report!B1)</f>
        <v/>
      </c>
      <c r="B3" s="123"/>
      <c r="C3" s="123"/>
      <c r="D3" s="123"/>
      <c r="E3" s="123"/>
    </row>
    <row r="4" spans="1:5" ht="22.5" x14ac:dyDescent="0.25">
      <c r="A4" s="152" t="s">
        <v>242</v>
      </c>
      <c r="B4" s="130" t="s">
        <v>132</v>
      </c>
      <c r="C4" s="143" t="s">
        <v>243</v>
      </c>
      <c r="D4" s="130" t="s">
        <v>133</v>
      </c>
      <c r="E4" s="130" t="s">
        <v>134</v>
      </c>
    </row>
    <row r="5" spans="1:5" x14ac:dyDescent="0.25">
      <c r="A5" s="128" t="s">
        <v>244</v>
      </c>
      <c r="B5" s="144" t="str">
        <f>IF(ISBLANK(TEC!B3),"",TEC!B3)</f>
        <v/>
      </c>
      <c r="C5" s="144" t="str">
        <f>IF(ISBLANK(TEC!C3),"",TEC!C3)</f>
        <v/>
      </c>
      <c r="D5" s="144" t="str">
        <f>IF(ISBLANK(TEC!D3),"",TEC!D3)</f>
        <v/>
      </c>
      <c r="E5" s="144" t="str">
        <f>IF(ISBLANK(TEC!E3),"",TEC!E3)</f>
        <v/>
      </c>
    </row>
    <row r="6" spans="1:5" x14ac:dyDescent="0.25">
      <c r="A6" s="137" t="s">
        <v>245</v>
      </c>
      <c r="B6" s="144" t="str">
        <f>IF(ISBLANK(TEC!B4),"",TEC!B4)</f>
        <v/>
      </c>
      <c r="C6" s="144" t="str">
        <f>IF(ISBLANK(TEC!C4),"",TEC!C4)</f>
        <v/>
      </c>
      <c r="D6" s="144" t="str">
        <f>IF(ISBLANK(TEC!D4),"",TEC!D4)</f>
        <v/>
      </c>
      <c r="E6" s="144" t="str">
        <f>IF(ISBLANK(TEC!E4),"",TEC!E4)</f>
        <v/>
      </c>
    </row>
    <row r="7" spans="1:5" x14ac:dyDescent="0.25">
      <c r="A7" s="357" t="s">
        <v>246</v>
      </c>
      <c r="B7" s="358"/>
      <c r="C7" s="358"/>
      <c r="D7" s="358"/>
      <c r="E7" s="359"/>
    </row>
    <row r="8" spans="1:5" x14ac:dyDescent="0.25">
      <c r="A8" s="349" t="s">
        <v>247</v>
      </c>
      <c r="B8" s="350"/>
      <c r="C8" s="350"/>
      <c r="D8" s="350"/>
      <c r="E8" s="351"/>
    </row>
    <row r="9" spans="1:5" x14ac:dyDescent="0.25">
      <c r="A9" s="137" t="s">
        <v>248</v>
      </c>
      <c r="B9" s="145" t="str">
        <f>IF(ISBLANK(TEC!B7),"",TEC!B7)</f>
        <v/>
      </c>
      <c r="C9" s="145" t="str">
        <f>IF(ISBLANK(TEC!C7),"",TEC!C7)</f>
        <v/>
      </c>
      <c r="D9" s="145" t="str">
        <f>IF(ISBLANK(TEC!D7),"",TEC!D7)</f>
        <v/>
      </c>
      <c r="E9" s="145" t="str">
        <f>IF(ISBLANK(TEC!E7),"",TEC!E7)</f>
        <v/>
      </c>
    </row>
    <row r="10" spans="1:5" ht="37.5" customHeight="1" x14ac:dyDescent="0.25">
      <c r="A10" s="128" t="s">
        <v>249</v>
      </c>
      <c r="B10" s="145" t="str">
        <f>IF(ISBLANK(TEC!B8),"",TEC!B8)</f>
        <v/>
      </c>
      <c r="C10" s="145" t="str">
        <f>IF(ISBLANK(TEC!C8),"",TEC!C8)</f>
        <v/>
      </c>
      <c r="D10" s="145" t="str">
        <f>IF(ISBLANK(TEC!D8),"",TEC!D8)</f>
        <v/>
      </c>
      <c r="E10" s="145" t="str">
        <f>IF(ISBLANK(TEC!E8),"",TEC!E8)</f>
        <v/>
      </c>
    </row>
    <row r="11" spans="1:5" ht="36" x14ac:dyDescent="0.25">
      <c r="A11" s="136" t="s">
        <v>250</v>
      </c>
      <c r="B11" s="145" t="str">
        <f>IF(ISBLANK(TEC!B9),"",TEC!B9)</f>
        <v/>
      </c>
      <c r="C11" s="145" t="str">
        <f>IF(ISBLANK(TEC!C9),"",TEC!C9)</f>
        <v/>
      </c>
      <c r="D11" s="145" t="str">
        <f>IF(ISBLANK(TEC!D9),"",TEC!D9)</f>
        <v/>
      </c>
      <c r="E11" s="145" t="str">
        <f>IF(ISBLANK(TEC!E9),"",TEC!E9)</f>
        <v/>
      </c>
    </row>
    <row r="12" spans="1:5" x14ac:dyDescent="0.25">
      <c r="A12" s="360" t="s">
        <v>251</v>
      </c>
      <c r="B12" s="361"/>
      <c r="C12" s="361"/>
      <c r="D12" s="361"/>
      <c r="E12" s="362"/>
    </row>
    <row r="13" spans="1:5" ht="74.25" customHeight="1" x14ac:dyDescent="0.25">
      <c r="A13" s="354" t="s">
        <v>252</v>
      </c>
      <c r="B13" s="355"/>
      <c r="C13" s="355"/>
      <c r="D13" s="355"/>
      <c r="E13" s="356"/>
    </row>
    <row r="14" spans="1:5" x14ac:dyDescent="0.25">
      <c r="A14" s="354" t="s">
        <v>253</v>
      </c>
      <c r="B14" s="355"/>
      <c r="C14" s="355"/>
      <c r="D14" s="355"/>
      <c r="E14" s="356"/>
    </row>
    <row r="15" spans="1:5" x14ac:dyDescent="0.25">
      <c r="A15" s="136" t="s">
        <v>254</v>
      </c>
      <c r="B15" s="145" t="str">
        <f>IF(ISBLANK(TEC!B11),"",TEC!B11)</f>
        <v/>
      </c>
      <c r="C15" s="145" t="str">
        <f>IF(ISBLANK(TEC!C11),"",TEC!C11)</f>
        <v/>
      </c>
      <c r="D15" s="145" t="str">
        <f>IF(ISBLANK(TEC!D11),"",TEC!D11)</f>
        <v/>
      </c>
      <c r="E15" s="145" t="str">
        <f>IF(ISBLANK(TEC!E11),"",TEC!E11)</f>
        <v/>
      </c>
    </row>
    <row r="16" spans="1:5" x14ac:dyDescent="0.25">
      <c r="A16" s="126" t="s">
        <v>255</v>
      </c>
      <c r="B16" s="145" t="str">
        <f>IF(ISBLANK(TEC!B12),"",TEC!B12)</f>
        <v/>
      </c>
      <c r="C16" s="145" t="str">
        <f>IF(ISBLANK(TEC!C12),"",TEC!C12)</f>
        <v/>
      </c>
      <c r="D16" s="145" t="str">
        <f>IF(ISBLANK(TEC!D12),"",TEC!D12)</f>
        <v/>
      </c>
      <c r="E16" s="145" t="str">
        <f>IF(ISBLANK(TEC!E12),"",TEC!E12)</f>
        <v/>
      </c>
    </row>
    <row r="17" spans="1:5" x14ac:dyDescent="0.25">
      <c r="A17" s="137" t="s">
        <v>256</v>
      </c>
      <c r="B17" s="145" t="str">
        <f>IF(ISBLANK(TEC!B13),"",TEC!B13)</f>
        <v/>
      </c>
      <c r="C17" s="145" t="str">
        <f>IF(ISBLANK(TEC!C13),"",TEC!C13)</f>
        <v/>
      </c>
      <c r="D17" s="145" t="str">
        <f>IF(ISBLANK(TEC!D13),"",TEC!D13)</f>
        <v/>
      </c>
      <c r="E17" s="145" t="str">
        <f>IF(ISBLANK(TEC!E13),"",TEC!E13)</f>
        <v/>
      </c>
    </row>
    <row r="18" spans="1:5" x14ac:dyDescent="0.25">
      <c r="A18" s="126" t="s">
        <v>257</v>
      </c>
      <c r="B18" s="145" t="str">
        <f>IF(ISBLANK(TEC!B14),"",TEC!B14)</f>
        <v/>
      </c>
      <c r="C18" s="145" t="str">
        <f>IF(ISBLANK(TEC!C14),"",TEC!C14)</f>
        <v/>
      </c>
      <c r="D18" s="145" t="str">
        <f>IF(ISBLANK(TEC!D14),"",TEC!D14)</f>
        <v/>
      </c>
      <c r="E18" s="145" t="str">
        <f>IF(ISBLANK(TEC!E14),"",TEC!E14)</f>
        <v/>
      </c>
    </row>
    <row r="19" spans="1:5" x14ac:dyDescent="0.25">
      <c r="A19" s="136" t="s">
        <v>258</v>
      </c>
      <c r="B19" s="145" t="str">
        <f>IF(ISBLANK(TEC!B15),"",TEC!B15)</f>
        <v/>
      </c>
      <c r="C19" s="145" t="str">
        <f>IF(ISBLANK(TEC!C15),"",TEC!C15)</f>
        <v/>
      </c>
      <c r="D19" s="145" t="str">
        <f>IF(ISBLANK(TEC!D15),"",TEC!D15)</f>
        <v/>
      </c>
      <c r="E19" s="145" t="str">
        <f>IF(ISBLANK(TEC!E15),"",TEC!E15)</f>
        <v/>
      </c>
    </row>
    <row r="20" spans="1:5" x14ac:dyDescent="0.25">
      <c r="A20" s="126" t="s">
        <v>259</v>
      </c>
      <c r="B20" s="145" t="str">
        <f>IF(ISBLANK(TEC!B16),"",TEC!B16)</f>
        <v/>
      </c>
      <c r="C20" s="145" t="str">
        <f>IF(ISBLANK(TEC!C16),"",TEC!C16)</f>
        <v/>
      </c>
      <c r="D20" s="145" t="str">
        <f>IF(ISBLANK(TEC!D16),"",TEC!D16)</f>
        <v/>
      </c>
      <c r="E20" s="145" t="str">
        <f>IF(ISBLANK(TEC!E16),"",TEC!E16)</f>
        <v/>
      </c>
    </row>
    <row r="21" spans="1:5" x14ac:dyDescent="0.25">
      <c r="A21" s="136" t="s">
        <v>260</v>
      </c>
      <c r="B21" s="145" t="str">
        <f>IF(ISBLANK(TEC!B17),"",TEC!B17)</f>
        <v/>
      </c>
      <c r="C21" s="145" t="str">
        <f>IF(ISBLANK(TEC!C17),"",TEC!C17)</f>
        <v/>
      </c>
      <c r="D21" s="145" t="str">
        <f>IF(ISBLANK(TEC!D17),"",TEC!D17)</f>
        <v/>
      </c>
      <c r="E21" s="145" t="str">
        <f>IF(ISBLANK(TEC!E17),"",TEC!E17)</f>
        <v/>
      </c>
    </row>
    <row r="22" spans="1:5" x14ac:dyDescent="0.25">
      <c r="A22" s="126" t="s">
        <v>261</v>
      </c>
      <c r="B22" s="145" t="str">
        <f>IF(ISBLANK(TEC!B18),"",TEC!B18)</f>
        <v/>
      </c>
      <c r="C22" s="145" t="str">
        <f>IF(ISBLANK(TEC!C18),"",TEC!C18)</f>
        <v/>
      </c>
      <c r="D22" s="145" t="str">
        <f>IF(ISBLANK(TEC!D18),"",TEC!D18)</f>
        <v/>
      </c>
      <c r="E22" s="145" t="str">
        <f>IF(ISBLANK(TEC!E18),"",TEC!E18)</f>
        <v/>
      </c>
    </row>
    <row r="23" spans="1:5" x14ac:dyDescent="0.25">
      <c r="A23" s="136" t="s">
        <v>262</v>
      </c>
      <c r="B23" s="145" t="str">
        <f>IF(ISBLANK(TEC!B19),"",TEC!B19)</f>
        <v/>
      </c>
      <c r="C23" s="145" t="str">
        <f>IF(ISBLANK(TEC!C19),"",TEC!C19)</f>
        <v/>
      </c>
      <c r="D23" s="145" t="str">
        <f>IF(ISBLANK(TEC!D19),"",TEC!D19)</f>
        <v/>
      </c>
      <c r="E23" s="145" t="str">
        <f>IF(ISBLANK(TEC!E19),"",TEC!E19)</f>
        <v/>
      </c>
    </row>
    <row r="24" spans="1:5" x14ac:dyDescent="0.25">
      <c r="A24" s="349" t="s">
        <v>263</v>
      </c>
      <c r="B24" s="350"/>
      <c r="C24" s="350"/>
      <c r="D24" s="350"/>
      <c r="E24" s="351"/>
    </row>
    <row r="25" spans="1:5" x14ac:dyDescent="0.25">
      <c r="A25" s="136" t="s">
        <v>264</v>
      </c>
      <c r="B25" s="145" t="str">
        <f>IF(ISBLANK(TEC!B21),"",TEC!B21)</f>
        <v/>
      </c>
      <c r="C25" s="145" t="str">
        <f>IF(ISBLANK(TEC!C21),"",TEC!C21)</f>
        <v/>
      </c>
      <c r="D25" s="145" t="str">
        <f>IF(ISBLANK(TEC!D21),"",TEC!D21)</f>
        <v/>
      </c>
      <c r="E25" s="145" t="str">
        <f>IF(ISBLANK(TEC!E21),"",TEC!E21)</f>
        <v/>
      </c>
    </row>
    <row r="26" spans="1:5" x14ac:dyDescent="0.25">
      <c r="A26" s="126" t="s">
        <v>265</v>
      </c>
      <c r="B26" s="145" t="str">
        <f>IF(ISBLANK(TEC!B22),"",TEC!B22)</f>
        <v/>
      </c>
      <c r="C26" s="145" t="str">
        <f>IF(ISBLANK(TEC!C22),"",TEC!C22)</f>
        <v/>
      </c>
      <c r="D26" s="145" t="str">
        <f>IF(ISBLANK(TEC!D22),"",TEC!D22)</f>
        <v/>
      </c>
      <c r="E26" s="145" t="str">
        <f>IF(ISBLANK(TEC!E22),"",TEC!E22)</f>
        <v/>
      </c>
    </row>
    <row r="27" spans="1:5" x14ac:dyDescent="0.25">
      <c r="A27" s="136" t="s">
        <v>266</v>
      </c>
      <c r="B27" s="145" t="str">
        <f>IF(ISBLANK(TEC!B23),"",TEC!B23)</f>
        <v/>
      </c>
      <c r="C27" s="145" t="str">
        <f>IF(ISBLANK(TEC!C23),"",TEC!C23)</f>
        <v/>
      </c>
      <c r="D27" s="145" t="str">
        <f>IF(ISBLANK(TEC!D23),"",TEC!D23)</f>
        <v/>
      </c>
      <c r="E27" s="145" t="str">
        <f>IF(ISBLANK(TEC!E23),"",TEC!E23)</f>
        <v/>
      </c>
    </row>
    <row r="28" spans="1:5" x14ac:dyDescent="0.25">
      <c r="A28" s="354" t="s">
        <v>267</v>
      </c>
      <c r="B28" s="355"/>
      <c r="C28" s="355"/>
      <c r="D28" s="355"/>
      <c r="E28" s="356"/>
    </row>
    <row r="29" spans="1:5" x14ac:dyDescent="0.25">
      <c r="A29" s="136" t="s">
        <v>268</v>
      </c>
      <c r="B29" s="145" t="str">
        <f>IF(ISBLANK(TEC!B25),"",TEC!B25)</f>
        <v/>
      </c>
      <c r="C29" s="145" t="str">
        <f>IF(ISBLANK(TEC!C25),"",TEC!C25)</f>
        <v/>
      </c>
      <c r="D29" s="145" t="str">
        <f>IF(ISBLANK(TEC!D25),"",TEC!D25)</f>
        <v/>
      </c>
      <c r="E29" s="145" t="str">
        <f>IF(ISBLANK(TEC!E25),"",TEC!E25)</f>
        <v/>
      </c>
    </row>
    <row r="30" spans="1:5" x14ac:dyDescent="0.25">
      <c r="A30" s="126" t="s">
        <v>269</v>
      </c>
      <c r="B30" s="145" t="str">
        <f>IF(ISBLANK(TEC!B26),"",TEC!B26)</f>
        <v/>
      </c>
      <c r="C30" s="145" t="str">
        <f>IF(ISBLANK(TEC!C26),"",TEC!C26)</f>
        <v/>
      </c>
      <c r="D30" s="145" t="str">
        <f>IF(ISBLANK(TEC!D26),"",TEC!D26)</f>
        <v/>
      </c>
      <c r="E30" s="145" t="str">
        <f>IF(ISBLANK(TEC!E26),"",TEC!E26)</f>
        <v/>
      </c>
    </row>
    <row r="31" spans="1:5" x14ac:dyDescent="0.25">
      <c r="A31" s="357" t="s">
        <v>270</v>
      </c>
      <c r="B31" s="358"/>
      <c r="C31" s="358"/>
      <c r="D31" s="358"/>
      <c r="E31" s="359"/>
    </row>
    <row r="32" spans="1:5" ht="24" x14ac:dyDescent="0.25">
      <c r="A32" s="137" t="s">
        <v>271</v>
      </c>
      <c r="B32" s="145" t="str">
        <f>IF(ISBLANK(TEC!B28),"",TEC!B28)</f>
        <v/>
      </c>
      <c r="C32" s="145" t="str">
        <f>IF(ISBLANK(TEC!C28),"",TEC!C28)</f>
        <v/>
      </c>
      <c r="D32" s="145" t="str">
        <f>IF(ISBLANK(TEC!D28),"",TEC!D28)</f>
        <v/>
      </c>
      <c r="E32" s="145" t="str">
        <f>IF(ISBLANK(TEC!E28),"",TEC!E28)</f>
        <v/>
      </c>
    </row>
    <row r="33" spans="1:5" ht="24" x14ac:dyDescent="0.25">
      <c r="A33" s="128" t="s">
        <v>272</v>
      </c>
      <c r="B33" s="145" t="str">
        <f>IF(ISBLANK(TEC!B29),"",TEC!B29)</f>
        <v/>
      </c>
      <c r="C33" s="145" t="str">
        <f>IF(ISBLANK(TEC!C29),"",TEC!C29)</f>
        <v/>
      </c>
      <c r="D33" s="145" t="str">
        <f>IF(ISBLANK(TEC!D29),"",TEC!D29)</f>
        <v/>
      </c>
      <c r="E33" s="145" t="str">
        <f>IF(ISBLANK(TEC!E29),"",TEC!E29)</f>
        <v/>
      </c>
    </row>
    <row r="34" spans="1:5" x14ac:dyDescent="0.25">
      <c r="A34" s="136" t="s">
        <v>273</v>
      </c>
      <c r="B34" s="145" t="str">
        <f>IF(ISBLANK(TEC!B30),"",TEC!B30)</f>
        <v/>
      </c>
      <c r="C34" s="145" t="str">
        <f>IF(ISBLANK(TEC!C30),"",TEC!C30)</f>
        <v/>
      </c>
      <c r="D34" s="145" t="str">
        <f>IF(ISBLANK(TEC!D30),"",TEC!D30)</f>
        <v/>
      </c>
      <c r="E34" s="145" t="str">
        <f>IF(ISBLANK(TEC!E30),"",TEC!E30)</f>
        <v/>
      </c>
    </row>
    <row r="35" spans="1:5" x14ac:dyDescent="0.25">
      <c r="A35" s="354" t="s">
        <v>274</v>
      </c>
      <c r="B35" s="355"/>
      <c r="C35" s="355"/>
      <c r="D35" s="355"/>
      <c r="E35" s="356"/>
    </row>
    <row r="36" spans="1:5" ht="24" x14ac:dyDescent="0.25">
      <c r="A36" s="137" t="s">
        <v>275</v>
      </c>
      <c r="B36" s="145" t="str">
        <f>IF(ISBLANK(TEC!B32),"",TEC!B32)</f>
        <v/>
      </c>
      <c r="C36" s="145" t="str">
        <f>IF(ISBLANK(TEC!C32),"",TEC!C32)</f>
        <v/>
      </c>
      <c r="D36" s="145" t="str">
        <f>IF(ISBLANK(TEC!D32),"",TEC!D32)</f>
        <v/>
      </c>
      <c r="E36" s="145" t="str">
        <f>IF(ISBLANK(TEC!E32),"",TEC!E32)</f>
        <v/>
      </c>
    </row>
    <row r="37" spans="1:5" x14ac:dyDescent="0.25">
      <c r="A37" s="128" t="s">
        <v>276</v>
      </c>
      <c r="B37" s="145" t="str">
        <f>IF(ISBLANK(TEC!B33),"",TEC!B33)</f>
        <v/>
      </c>
      <c r="C37" s="145" t="str">
        <f>IF(ISBLANK(TEC!C33),"",TEC!C33)</f>
        <v/>
      </c>
      <c r="D37" s="145" t="str">
        <f>IF(ISBLANK(TEC!D33),"",TEC!D33)</f>
        <v/>
      </c>
      <c r="E37" s="145" t="str">
        <f>IF(ISBLANK(TEC!E33),"",TEC!E33)</f>
        <v/>
      </c>
    </row>
    <row r="38" spans="1:5" x14ac:dyDescent="0.25">
      <c r="A38" s="137" t="s">
        <v>277</v>
      </c>
      <c r="B38" s="145" t="str">
        <f>IF(ISBLANK(TEC!B34),"",TEC!B34)</f>
        <v/>
      </c>
      <c r="C38" s="145" t="str">
        <f>IF(ISBLANK(TEC!C34),"",TEC!C34)</f>
        <v/>
      </c>
      <c r="D38" s="145" t="str">
        <f>IF(ISBLANK(TEC!D34),"",TEC!D34)</f>
        <v/>
      </c>
      <c r="E38" s="145" t="str">
        <f>IF(ISBLANK(TEC!E34),"",TEC!E34)</f>
        <v/>
      </c>
    </row>
    <row r="39" spans="1:5" x14ac:dyDescent="0.25">
      <c r="A39" s="128" t="s">
        <v>278</v>
      </c>
      <c r="B39" s="145" t="str">
        <f>IF(ISBLANK(TEC!B35),"",TEC!B35)</f>
        <v/>
      </c>
      <c r="C39" s="145" t="str">
        <f>IF(ISBLANK(TEC!C35),"",TEC!C35)</f>
        <v/>
      </c>
      <c r="D39" s="145" t="str">
        <f>IF(ISBLANK(TEC!D35),"",TEC!D35)</f>
        <v/>
      </c>
      <c r="E39" s="145" t="str">
        <f>IF(ISBLANK(TEC!E35),"",TEC!E35)</f>
        <v/>
      </c>
    </row>
    <row r="40" spans="1:5" x14ac:dyDescent="0.25">
      <c r="A40" s="349" t="s">
        <v>279</v>
      </c>
      <c r="B40" s="350"/>
      <c r="C40" s="350"/>
      <c r="D40" s="350"/>
      <c r="E40" s="351"/>
    </row>
    <row r="41" spans="1:5" x14ac:dyDescent="0.25">
      <c r="A41" s="137" t="s">
        <v>280</v>
      </c>
      <c r="B41" s="145" t="str">
        <f>IF(ISBLANK(TEC!B37),"",TEC!B37)</f>
        <v/>
      </c>
      <c r="C41" s="145" t="str">
        <f>IF(ISBLANK(TEC!C37),"",TEC!C37)</f>
        <v/>
      </c>
      <c r="D41" s="145" t="str">
        <f>IF(ISBLANK(TEC!D37),"",TEC!D37)</f>
        <v/>
      </c>
      <c r="E41" s="145" t="str">
        <f>IF(ISBLANK(TEC!E37),"",TEC!E37)</f>
        <v/>
      </c>
    </row>
    <row r="42" spans="1:5" ht="24" x14ac:dyDescent="0.25">
      <c r="A42" s="128" t="s">
        <v>281</v>
      </c>
      <c r="B42" s="145" t="str">
        <f>IF(ISBLANK(TEC!B38),"",TEC!B38)</f>
        <v/>
      </c>
      <c r="C42" s="145" t="str">
        <f>IF(ISBLANK(TEC!C38),"",TEC!C38)</f>
        <v/>
      </c>
      <c r="D42" s="145" t="str">
        <f>IF(ISBLANK(TEC!D38),"",TEC!D38)</f>
        <v/>
      </c>
      <c r="E42" s="145" t="str">
        <f>IF(ISBLANK(TEC!E38),"",TEC!E38)</f>
        <v/>
      </c>
    </row>
    <row r="43" spans="1:5" ht="24" x14ac:dyDescent="0.25">
      <c r="A43" s="137" t="s">
        <v>282</v>
      </c>
      <c r="B43" s="145" t="str">
        <f>IF(ISBLANK(TEC!B39),"",TEC!B39)</f>
        <v/>
      </c>
      <c r="C43" s="145" t="str">
        <f>IF(ISBLANK(TEC!C39),"",TEC!C39)</f>
        <v/>
      </c>
      <c r="D43" s="145" t="str">
        <f>IF(ISBLANK(TEC!D39),"",TEC!D39)</f>
        <v/>
      </c>
      <c r="E43" s="145" t="str">
        <f>IF(ISBLANK(TEC!E39),"",TEC!E39)</f>
        <v/>
      </c>
    </row>
    <row r="44" spans="1:5" x14ac:dyDescent="0.25">
      <c r="A44" s="128" t="s">
        <v>283</v>
      </c>
      <c r="B44" s="145" t="str">
        <f>IF(ISBLANK(TEC!B40),"",TEC!B40)</f>
        <v/>
      </c>
      <c r="C44" s="145" t="str">
        <f>IF(ISBLANK(TEC!C40),"",TEC!C40)</f>
        <v/>
      </c>
      <c r="D44" s="145" t="str">
        <f>IF(ISBLANK(TEC!D40),"",TEC!D40)</f>
        <v/>
      </c>
      <c r="E44" s="145" t="str">
        <f>IF(ISBLANK(TEC!E40),"",TEC!E40)</f>
        <v/>
      </c>
    </row>
    <row r="45" spans="1:5" ht="24" x14ac:dyDescent="0.25">
      <c r="A45" s="137" t="s">
        <v>284</v>
      </c>
      <c r="B45" s="145" t="str">
        <f>IF(ISBLANK(TEC!B41),"",TEC!B41)</f>
        <v/>
      </c>
      <c r="C45" s="145" t="str">
        <f>IF(ISBLANK(TEC!C41),"",TEC!C41)</f>
        <v/>
      </c>
      <c r="D45" s="145" t="str">
        <f>IF(ISBLANK(TEC!D41),"",TEC!D41)</f>
        <v/>
      </c>
      <c r="E45" s="145" t="str">
        <f>IF(ISBLANK(TEC!E41),"",TEC!E41)</f>
        <v/>
      </c>
    </row>
    <row r="46" spans="1:5" ht="22.5" x14ac:dyDescent="0.25">
      <c r="A46" s="146" t="s">
        <v>285</v>
      </c>
      <c r="B46" s="143" t="s">
        <v>286</v>
      </c>
      <c r="C46" s="143" t="s">
        <v>287</v>
      </c>
      <c r="D46" s="143" t="s">
        <v>288</v>
      </c>
      <c r="E46" s="130" t="s">
        <v>134</v>
      </c>
    </row>
    <row r="47" spans="1:5" x14ac:dyDescent="0.25">
      <c r="A47" s="349" t="s">
        <v>289</v>
      </c>
      <c r="B47" s="350"/>
      <c r="C47" s="350"/>
      <c r="D47" s="350"/>
      <c r="E47" s="351"/>
    </row>
    <row r="48" spans="1:5" x14ac:dyDescent="0.25">
      <c r="A48" s="136" t="s">
        <v>290</v>
      </c>
      <c r="B48" s="145" t="str">
        <f>IF(ISBLANK(TEC!B43),"",TEC!B43)</f>
        <v/>
      </c>
      <c r="C48" s="145" t="str">
        <f>IF(ISBLANK(TEC!C43),"",TEC!C43)</f>
        <v/>
      </c>
      <c r="D48" s="145" t="str">
        <f>IF(ISBLANK(TEC!D43),"",TEC!D43)</f>
        <v/>
      </c>
      <c r="E48" s="145" t="str">
        <f>IF(ISBLANK(TEC!E43),"",TEC!E43)</f>
        <v/>
      </c>
    </row>
    <row r="49" spans="1:5" x14ac:dyDescent="0.25">
      <c r="A49" s="126" t="s">
        <v>291</v>
      </c>
      <c r="B49" s="145" t="str">
        <f>IF(ISBLANK(TEC!B44),"",TEC!B44)</f>
        <v/>
      </c>
      <c r="C49" s="145" t="str">
        <f>IF(ISBLANK(TEC!C44),"",TEC!C44)</f>
        <v/>
      </c>
      <c r="D49" s="145" t="str">
        <f>IF(ISBLANK(TEC!D44),"",TEC!D44)</f>
        <v/>
      </c>
      <c r="E49" s="145" t="str">
        <f>IF(ISBLANK(TEC!E44),"",TEC!E44)</f>
        <v/>
      </c>
    </row>
    <row r="50" spans="1:5" x14ac:dyDescent="0.25">
      <c r="A50" s="136" t="s">
        <v>292</v>
      </c>
      <c r="B50" s="145" t="str">
        <f>IF(ISBLANK(TEC!B45),"",TEC!B45)</f>
        <v/>
      </c>
      <c r="C50" s="145" t="str">
        <f>IF(ISBLANK(TEC!C45),"",TEC!C45)</f>
        <v/>
      </c>
      <c r="D50" s="145" t="str">
        <f>IF(ISBLANK(TEC!D45),"",TEC!D45)</f>
        <v/>
      </c>
      <c r="E50" s="145" t="str">
        <f>IF(ISBLANK(TEC!E45),"",TEC!E45)</f>
        <v/>
      </c>
    </row>
    <row r="51" spans="1:5" x14ac:dyDescent="0.25">
      <c r="A51" s="126" t="s">
        <v>293</v>
      </c>
      <c r="B51" s="145" t="str">
        <f>IF(ISBLANK(TEC!B46),"",TEC!B46)</f>
        <v/>
      </c>
      <c r="C51" s="145" t="str">
        <f>IF(ISBLANK(TEC!C46),"",TEC!C46)</f>
        <v/>
      </c>
      <c r="D51" s="145" t="str">
        <f>IF(ISBLANK(TEC!D46),"",TEC!D46)</f>
        <v/>
      </c>
      <c r="E51" s="145" t="str">
        <f>IF(ISBLANK(TEC!E46),"",TEC!E46)</f>
        <v/>
      </c>
    </row>
    <row r="52" spans="1:5" ht="36" x14ac:dyDescent="0.25">
      <c r="A52" s="137" t="s">
        <v>294</v>
      </c>
      <c r="B52" s="145" t="str">
        <f>IF(ISBLANK(TEC!B47),"",TEC!B47)</f>
        <v/>
      </c>
      <c r="C52" s="145" t="str">
        <f>IF(ISBLANK(TEC!C47),"",TEC!C47)</f>
        <v/>
      </c>
      <c r="D52" s="145" t="str">
        <f>IF(ISBLANK(TEC!D47),"",TEC!D47)</f>
        <v/>
      </c>
      <c r="E52" s="145" t="str">
        <f>IF(ISBLANK(TEC!E47),"",TEC!E47)</f>
        <v/>
      </c>
    </row>
    <row r="53" spans="1:5" ht="24" x14ac:dyDescent="0.25">
      <c r="A53" s="128" t="s">
        <v>295</v>
      </c>
      <c r="B53" s="145" t="str">
        <f>IF(ISBLANK(TEC!B48),"",TEC!B48)</f>
        <v/>
      </c>
      <c r="C53" s="145" t="str">
        <f>IF(ISBLANK(TEC!C48),"",TEC!C48)</f>
        <v/>
      </c>
      <c r="D53" s="145" t="str">
        <f>IF(ISBLANK(TEC!D48),"",TEC!D48)</f>
        <v/>
      </c>
      <c r="E53" s="145" t="str">
        <f>IF(ISBLANK(TEC!E48),"",TEC!E48)</f>
        <v/>
      </c>
    </row>
    <row r="54" spans="1:5" x14ac:dyDescent="0.25">
      <c r="A54" s="349" t="s">
        <v>296</v>
      </c>
      <c r="B54" s="350"/>
      <c r="C54" s="350"/>
      <c r="D54" s="350"/>
      <c r="E54" s="351"/>
    </row>
    <row r="55" spans="1:5" ht="36" x14ac:dyDescent="0.25">
      <c r="A55" s="137" t="s">
        <v>297</v>
      </c>
      <c r="B55" s="145" t="str">
        <f>IF(ISBLANK(TEC!B50),"",TEC!B50)</f>
        <v/>
      </c>
      <c r="C55" s="145" t="str">
        <f>IF(ISBLANK(TEC!C50),"",TEC!C50)</f>
        <v/>
      </c>
      <c r="D55" s="145" t="str">
        <f>IF(ISBLANK(TEC!D50),"",TEC!D50)</f>
        <v/>
      </c>
      <c r="E55" s="145" t="str">
        <f>IF(ISBLANK(TEC!E50),"",TEC!E50)</f>
        <v/>
      </c>
    </row>
    <row r="56" spans="1:5" ht="24" x14ac:dyDescent="0.25">
      <c r="A56" s="126" t="s">
        <v>298</v>
      </c>
      <c r="B56" s="145" t="str">
        <f>IF(ISBLANK(TEC!B51),"",TEC!B51)</f>
        <v/>
      </c>
      <c r="C56" s="145" t="str">
        <f>IF(ISBLANK(TEC!C51),"",TEC!C51)</f>
        <v/>
      </c>
      <c r="D56" s="145" t="str">
        <f>IF(ISBLANK(TEC!D51),"",TEC!D51)</f>
        <v/>
      </c>
      <c r="E56" s="145" t="str">
        <f>IF(ISBLANK(TEC!E51),"",TEC!E51)</f>
        <v/>
      </c>
    </row>
    <row r="57" spans="1:5" ht="36" x14ac:dyDescent="0.25">
      <c r="A57" s="136" t="s">
        <v>299</v>
      </c>
      <c r="B57" s="145" t="str">
        <f>IF(ISBLANK(TEC!B52),"",TEC!B52)</f>
        <v/>
      </c>
      <c r="C57" s="145" t="str">
        <f>IF(ISBLANK(TEC!C52),"",TEC!C52)</f>
        <v/>
      </c>
      <c r="D57" s="145" t="str">
        <f>IF(ISBLANK(TEC!D52),"",TEC!D52)</f>
        <v/>
      </c>
      <c r="E57" s="145" t="str">
        <f>IF(ISBLANK(TEC!E52),"",TEC!E52)</f>
        <v/>
      </c>
    </row>
    <row r="58" spans="1:5" x14ac:dyDescent="0.25">
      <c r="A58" s="128" t="s">
        <v>300</v>
      </c>
      <c r="B58" s="145" t="str">
        <f>IF(ISBLANK(TEC!B53),"",TEC!B53)</f>
        <v/>
      </c>
      <c r="C58" s="145" t="str">
        <f>IF(ISBLANK(TEC!C53),"",TEC!C53)</f>
        <v/>
      </c>
      <c r="D58" s="145" t="str">
        <f>IF(ISBLANK(TEC!D53),"",TEC!D53)</f>
        <v/>
      </c>
      <c r="E58" s="145" t="str">
        <f>IF(ISBLANK(TEC!E53),"",TEC!E53)</f>
        <v/>
      </c>
    </row>
    <row r="59" spans="1:5" ht="24" x14ac:dyDescent="0.25">
      <c r="A59" s="136" t="s">
        <v>301</v>
      </c>
      <c r="B59" s="145" t="str">
        <f>IF(ISBLANK(TEC!B54),"",TEC!B54)</f>
        <v/>
      </c>
      <c r="C59" s="145" t="str">
        <f>IF(ISBLANK(TEC!C54),"",TEC!C54)</f>
        <v/>
      </c>
      <c r="D59" s="145" t="str">
        <f>IF(ISBLANK(TEC!D54),"",TEC!D54)</f>
        <v/>
      </c>
      <c r="E59" s="145" t="str">
        <f>IF(ISBLANK(TEC!E54),"",TEC!E54)</f>
        <v/>
      </c>
    </row>
    <row r="60" spans="1:5" x14ac:dyDescent="0.25">
      <c r="A60" s="126" t="s">
        <v>302</v>
      </c>
      <c r="B60" s="145" t="str">
        <f>IF(ISBLANK(TEC!B55),"",TEC!B55)</f>
        <v/>
      </c>
      <c r="C60" s="145" t="str">
        <f>IF(ISBLANK(TEC!C55),"",TEC!C55)</f>
        <v/>
      </c>
      <c r="D60" s="145" t="str">
        <f>IF(ISBLANK(TEC!D55),"",TEC!D55)</f>
        <v/>
      </c>
      <c r="E60" s="145" t="str">
        <f>IF(ISBLANK(TEC!E55),"",TEC!E55)</f>
        <v/>
      </c>
    </row>
    <row r="61" spans="1:5" ht="24" x14ac:dyDescent="0.25">
      <c r="A61" s="136" t="s">
        <v>303</v>
      </c>
      <c r="B61" s="145" t="str">
        <f>IF(ISBLANK(TEC!B56),"",TEC!B56)</f>
        <v/>
      </c>
      <c r="C61" s="145" t="str">
        <f>IF(ISBLANK(TEC!C56),"",TEC!C56)</f>
        <v/>
      </c>
      <c r="D61" s="145" t="str">
        <f>IF(ISBLANK(TEC!D56),"",TEC!D56)</f>
        <v/>
      </c>
      <c r="E61" s="145" t="str">
        <f>IF(ISBLANK(TEC!E56),"",TEC!E56)</f>
        <v/>
      </c>
    </row>
    <row r="62" spans="1:5" x14ac:dyDescent="0.25">
      <c r="A62" s="349" t="s">
        <v>304</v>
      </c>
      <c r="B62" s="350"/>
      <c r="C62" s="350"/>
      <c r="D62" s="350"/>
      <c r="E62" s="351"/>
    </row>
    <row r="63" spans="1:5" ht="24" x14ac:dyDescent="0.25">
      <c r="A63" s="136" t="s">
        <v>305</v>
      </c>
      <c r="B63" s="145" t="str">
        <f>IF(ISBLANK(TEC!B58),"",TEC!B58)</f>
        <v/>
      </c>
      <c r="C63" s="145" t="str">
        <f>IF(ISBLANK(TEC!C58),"",TEC!C58)</f>
        <v/>
      </c>
      <c r="D63" s="145" t="str">
        <f>IF(ISBLANK(TEC!D58),"",TEC!D58)</f>
        <v/>
      </c>
      <c r="E63" s="145" t="str">
        <f>IF(ISBLANK(TEC!E58),"",TEC!E58)</f>
        <v/>
      </c>
    </row>
    <row r="64" spans="1:5" ht="24" x14ac:dyDescent="0.25">
      <c r="A64" s="128" t="s">
        <v>306</v>
      </c>
      <c r="B64" s="145" t="str">
        <f>IF(ISBLANK(TEC!B59),"",TEC!B59)</f>
        <v/>
      </c>
      <c r="C64" s="145" t="str">
        <f>IF(ISBLANK(TEC!C59),"",TEC!C59)</f>
        <v/>
      </c>
      <c r="D64" s="145" t="str">
        <f>IF(ISBLANK(TEC!D59),"",TEC!D59)</f>
        <v/>
      </c>
      <c r="E64" s="145" t="str">
        <f>IF(ISBLANK(TEC!E59),"",TEC!E59)</f>
        <v/>
      </c>
    </row>
    <row r="65" spans="1:6" ht="24" x14ac:dyDescent="0.25">
      <c r="A65" s="137" t="s">
        <v>307</v>
      </c>
      <c r="B65" s="145" t="str">
        <f>IF(ISBLANK(TEC!B60),"",TEC!B60)</f>
        <v/>
      </c>
      <c r="C65" s="145" t="str">
        <f>IF(ISBLANK(TEC!C60),"",TEC!C60)</f>
        <v/>
      </c>
      <c r="D65" s="145" t="str">
        <f>IF(ISBLANK(TEC!D60),"",TEC!D60)</f>
        <v/>
      </c>
      <c r="E65" s="145" t="str">
        <f>IF(ISBLANK(TEC!E60),"",TEC!E60)</f>
        <v/>
      </c>
    </row>
    <row r="66" spans="1:6" x14ac:dyDescent="0.25">
      <c r="A66" s="153" t="s">
        <v>70</v>
      </c>
      <c r="B66" s="352">
        <f>Office!M4</f>
        <v>0</v>
      </c>
      <c r="C66" s="353"/>
      <c r="D66" s="148" t="s">
        <v>308</v>
      </c>
      <c r="E66" s="297" t="str">
        <f>Office!J4</f>
        <v>2.11.18</v>
      </c>
    </row>
    <row r="67" spans="1:6" ht="14.45" customHeight="1" x14ac:dyDescent="0.25">
      <c r="A67" s="147" t="s">
        <v>70</v>
      </c>
      <c r="B67" s="352" t="e">
        <f>INDEX(Office!M4:M8,MATCH(REPT("z",255),Office!M4:M8))</f>
        <v>#N/A</v>
      </c>
      <c r="C67" s="353"/>
      <c r="D67" s="149" t="s">
        <v>111</v>
      </c>
      <c r="E67" s="296" t="str">
        <f>INDEX(Office!J4:J8,MATCH(REPT("z",255),Office!J4:J8))</f>
        <v>2.11.18</v>
      </c>
      <c r="F67" s="295"/>
    </row>
    <row r="68" spans="1:6" x14ac:dyDescent="0.25">
      <c r="A68" s="150" t="s">
        <v>309</v>
      </c>
      <c r="B68" s="352" t="str">
        <f>IF(ISBLANK(Report!B4),"",Report!B4)</f>
        <v/>
      </c>
      <c r="C68" s="353"/>
      <c r="D68" s="151" t="s">
        <v>369</v>
      </c>
      <c r="E68" s="286" t="str">
        <f>IF(ISBLANK(Report!D4),"",Report!D4)</f>
        <v/>
      </c>
    </row>
  </sheetData>
  <sheetProtection password="CC15" sheet="1" objects="1" scenarios="1"/>
  <mergeCells count="16">
    <mergeCell ref="A24:E24"/>
    <mergeCell ref="A7:E7"/>
    <mergeCell ref="A8:E8"/>
    <mergeCell ref="A12:E12"/>
    <mergeCell ref="A13:E13"/>
    <mergeCell ref="A14:E14"/>
    <mergeCell ref="A62:E62"/>
    <mergeCell ref="B66:C66"/>
    <mergeCell ref="B67:C67"/>
    <mergeCell ref="B68:C68"/>
    <mergeCell ref="A28:E28"/>
    <mergeCell ref="A31:E31"/>
    <mergeCell ref="A35:E35"/>
    <mergeCell ref="A40:E40"/>
    <mergeCell ref="A47:E47"/>
    <mergeCell ref="A54:E54"/>
  </mergeCells>
  <pageMargins left="0.7" right="0.7" top="0.75" bottom="0.75" header="0.3" footer="0.3"/>
  <pageSetup scale="73" fitToHeight="4"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A1:D77"/>
  <sheetViews>
    <sheetView showGridLines="0" showRowColHeaders="0" workbookViewId="0">
      <selection activeCell="G18" sqref="G18"/>
    </sheetView>
  </sheetViews>
  <sheetFormatPr defaultRowHeight="15" x14ac:dyDescent="0.25"/>
  <cols>
    <col min="1" max="1" width="89.85546875" customWidth="1"/>
    <col min="2" max="4" width="8.7109375" customWidth="1"/>
  </cols>
  <sheetData>
    <row r="1" spans="1:4" ht="18" x14ac:dyDescent="0.25">
      <c r="A1" s="290" t="s">
        <v>370</v>
      </c>
    </row>
    <row r="2" spans="1:4" ht="18" x14ac:dyDescent="0.25">
      <c r="A2" s="161" t="s">
        <v>424</v>
      </c>
      <c r="B2" s="123"/>
      <c r="C2" s="123"/>
      <c r="D2" s="123"/>
    </row>
    <row r="3" spans="1:4" x14ac:dyDescent="0.25">
      <c r="A3" s="365" t="str">
        <f>IF(ISBLANK(Report!B1),"",Report!B1)</f>
        <v/>
      </c>
      <c r="B3" s="366"/>
      <c r="C3" s="366"/>
      <c r="D3" s="367"/>
    </row>
    <row r="4" spans="1:4" ht="21" customHeight="1" x14ac:dyDescent="0.25">
      <c r="A4" s="124" t="s">
        <v>131</v>
      </c>
      <c r="B4" s="125" t="s">
        <v>132</v>
      </c>
      <c r="C4" s="125" t="s">
        <v>133</v>
      </c>
      <c r="D4" s="125" t="s">
        <v>134</v>
      </c>
    </row>
    <row r="5" spans="1:4" ht="24" x14ac:dyDescent="0.25">
      <c r="A5" s="126" t="s">
        <v>135</v>
      </c>
      <c r="B5" s="165"/>
      <c r="C5" s="165"/>
      <c r="D5" s="166"/>
    </row>
    <row r="6" spans="1:4" x14ac:dyDescent="0.25">
      <c r="A6" s="368" t="s">
        <v>136</v>
      </c>
      <c r="B6" s="369"/>
      <c r="C6" s="369"/>
      <c r="D6" s="370"/>
    </row>
    <row r="7" spans="1:4" ht="24" x14ac:dyDescent="0.25">
      <c r="A7" s="135" t="s">
        <v>137</v>
      </c>
      <c r="B7" s="165"/>
      <c r="C7" s="165"/>
      <c r="D7" s="166"/>
    </row>
    <row r="8" spans="1:4" x14ac:dyDescent="0.25">
      <c r="A8" s="136" t="s">
        <v>138</v>
      </c>
      <c r="B8" s="165"/>
      <c r="C8" s="165"/>
      <c r="D8" s="166"/>
    </row>
    <row r="9" spans="1:4" x14ac:dyDescent="0.25">
      <c r="A9" s="137" t="s">
        <v>139</v>
      </c>
      <c r="B9" s="165"/>
      <c r="C9" s="165"/>
      <c r="D9" s="166"/>
    </row>
    <row r="10" spans="1:4" x14ac:dyDescent="0.25">
      <c r="A10" s="136" t="s">
        <v>140</v>
      </c>
      <c r="B10" s="165"/>
      <c r="C10" s="165"/>
      <c r="D10" s="166"/>
    </row>
    <row r="11" spans="1:4" x14ac:dyDescent="0.25">
      <c r="A11" s="126" t="s">
        <v>141</v>
      </c>
      <c r="B11" s="165"/>
      <c r="C11" s="165"/>
      <c r="D11" s="166"/>
    </row>
    <row r="12" spans="1:4" x14ac:dyDescent="0.25">
      <c r="A12" s="137" t="s">
        <v>142</v>
      </c>
      <c r="B12" s="165"/>
      <c r="C12" s="165"/>
      <c r="D12" s="166"/>
    </row>
    <row r="13" spans="1:4" x14ac:dyDescent="0.25">
      <c r="A13" s="136" t="s">
        <v>143</v>
      </c>
      <c r="B13" s="165"/>
      <c r="C13" s="165"/>
      <c r="D13" s="166"/>
    </row>
    <row r="14" spans="1:4" x14ac:dyDescent="0.25">
      <c r="A14" s="126" t="s">
        <v>144</v>
      </c>
      <c r="B14" s="165"/>
      <c r="C14" s="165"/>
      <c r="D14" s="166"/>
    </row>
    <row r="15" spans="1:4" ht="24" x14ac:dyDescent="0.25">
      <c r="A15" s="128" t="s">
        <v>145</v>
      </c>
      <c r="B15" s="165"/>
      <c r="C15" s="165"/>
      <c r="D15" s="166"/>
    </row>
    <row r="16" spans="1:4" ht="24" x14ac:dyDescent="0.25">
      <c r="A16" s="137" t="s">
        <v>146</v>
      </c>
      <c r="B16" s="165"/>
      <c r="C16" s="165"/>
      <c r="D16" s="166"/>
    </row>
    <row r="17" spans="1:4" ht="36" x14ac:dyDescent="0.25">
      <c r="A17" s="137" t="s">
        <v>147</v>
      </c>
      <c r="B17" s="165"/>
      <c r="C17" s="165"/>
      <c r="D17" s="166"/>
    </row>
    <row r="18" spans="1:4" ht="24" x14ac:dyDescent="0.25">
      <c r="A18" s="128" t="s">
        <v>148</v>
      </c>
      <c r="B18" s="165"/>
      <c r="C18" s="165"/>
      <c r="D18" s="166"/>
    </row>
    <row r="19" spans="1:4" x14ac:dyDescent="0.25">
      <c r="A19" s="136" t="s">
        <v>149</v>
      </c>
      <c r="B19" s="165"/>
      <c r="C19" s="165"/>
      <c r="D19" s="166"/>
    </row>
    <row r="20" spans="1:4" x14ac:dyDescent="0.25">
      <c r="A20" s="371" t="s">
        <v>150</v>
      </c>
      <c r="B20" s="372"/>
      <c r="C20" s="372"/>
      <c r="D20" s="373"/>
    </row>
    <row r="21" spans="1:4" x14ac:dyDescent="0.25">
      <c r="A21" s="136" t="s">
        <v>151</v>
      </c>
      <c r="B21" s="165"/>
      <c r="C21" s="165"/>
      <c r="D21" s="166"/>
    </row>
    <row r="22" spans="1:4" ht="24" x14ac:dyDescent="0.25">
      <c r="A22" s="136" t="s">
        <v>152</v>
      </c>
      <c r="B22" s="165"/>
      <c r="C22" s="165"/>
      <c r="D22" s="166"/>
    </row>
    <row r="23" spans="1:4" x14ac:dyDescent="0.25">
      <c r="A23" s="128" t="s">
        <v>153</v>
      </c>
      <c r="B23" s="165"/>
      <c r="C23" s="165"/>
      <c r="D23" s="166"/>
    </row>
    <row r="24" spans="1:4" x14ac:dyDescent="0.25">
      <c r="A24" s="360" t="s">
        <v>154</v>
      </c>
      <c r="B24" s="361"/>
      <c r="C24" s="361"/>
      <c r="D24" s="362"/>
    </row>
    <row r="25" spans="1:4" x14ac:dyDescent="0.25">
      <c r="A25" s="137" t="s">
        <v>155</v>
      </c>
      <c r="B25" s="145" t="str">
        <f>IF(ISBLANK(HVACR!B3),"",HVACR!B3)</f>
        <v/>
      </c>
      <c r="C25" s="145" t="str">
        <f>IF(ISBLANK(HVACR!C3),"",HVACR!C3)</f>
        <v/>
      </c>
      <c r="D25" s="145" t="str">
        <f>IF(ISBLANK(HVACR!D3),"",HVACR!D3)</f>
        <v/>
      </c>
    </row>
    <row r="26" spans="1:4" x14ac:dyDescent="0.25">
      <c r="A26" s="128" t="s">
        <v>156</v>
      </c>
      <c r="B26" s="145" t="str">
        <f>IF(ISBLANK(HVACR!B4),"",HVACR!B4)</f>
        <v/>
      </c>
      <c r="C26" s="145" t="str">
        <f>IF(ISBLANK(HVACR!C4),"",HVACR!C4)</f>
        <v/>
      </c>
      <c r="D26" s="145" t="str">
        <f>IF(ISBLANK(HVACR!D4),"",HVACR!D4)</f>
        <v/>
      </c>
    </row>
    <row r="27" spans="1:4" ht="24" x14ac:dyDescent="0.25">
      <c r="A27" s="136" t="s">
        <v>157</v>
      </c>
      <c r="B27" s="145" t="str">
        <f>IF(ISBLANK(HVACR!B5),"",HVACR!B5)</f>
        <v/>
      </c>
      <c r="C27" s="145" t="str">
        <f>IF(ISBLANK(HVACR!C5),"",HVACR!C5)</f>
        <v/>
      </c>
      <c r="D27" s="145" t="str">
        <f>IF(ISBLANK(HVACR!D5),"",HVACR!D5)</f>
        <v/>
      </c>
    </row>
    <row r="28" spans="1:4" x14ac:dyDescent="0.25">
      <c r="A28" s="126" t="s">
        <v>158</v>
      </c>
      <c r="B28" s="145" t="str">
        <f>IF(ISBLANK(HVACR!B6),"",HVACR!B6)</f>
        <v/>
      </c>
      <c r="C28" s="145" t="str">
        <f>IF(ISBLANK(HVACR!C6),"",HVACR!C6)</f>
        <v/>
      </c>
      <c r="D28" s="145" t="str">
        <f>IF(ISBLANK(HVACR!D6),"",HVACR!D6)</f>
        <v/>
      </c>
    </row>
    <row r="29" spans="1:4" ht="24" x14ac:dyDescent="0.25">
      <c r="A29" s="136" t="s">
        <v>159</v>
      </c>
      <c r="B29" s="145" t="str">
        <f>IF(ISBLANK(HVACR!B7),"",HVACR!B7)</f>
        <v/>
      </c>
      <c r="C29" s="145" t="str">
        <f>IF(ISBLANK(HVACR!C7),"",HVACR!C7)</f>
        <v/>
      </c>
      <c r="D29" s="145" t="str">
        <f>IF(ISBLANK(HVACR!D7),"",HVACR!D7)</f>
        <v/>
      </c>
    </row>
    <row r="30" spans="1:4" ht="48" x14ac:dyDescent="0.25">
      <c r="A30" s="126" t="s">
        <v>160</v>
      </c>
      <c r="B30" s="145" t="str">
        <f>IF(ISBLANK(HVACR!B8),"",HVACR!B8)</f>
        <v/>
      </c>
      <c r="C30" s="145" t="str">
        <f>IF(ISBLANK(HVACR!C8),"",HVACR!C8)</f>
        <v/>
      </c>
      <c r="D30" s="145" t="str">
        <f>IF(ISBLANK(HVACR!D8),"",HVACR!D8)</f>
        <v/>
      </c>
    </row>
    <row r="31" spans="1:4" x14ac:dyDescent="0.25">
      <c r="A31" s="137" t="s">
        <v>161</v>
      </c>
      <c r="B31" s="145" t="str">
        <f>IF(ISBLANK(HVACR!B9),"",HVACR!B9)</f>
        <v/>
      </c>
      <c r="C31" s="145" t="str">
        <f>IF(ISBLANK(HVACR!C9),"",HVACR!C9)</f>
        <v/>
      </c>
      <c r="D31" s="145" t="str">
        <f>IF(ISBLANK(HVACR!D9),"",HVACR!D9)</f>
        <v/>
      </c>
    </row>
    <row r="32" spans="1:4" ht="60" x14ac:dyDescent="0.25">
      <c r="A32" s="128" t="s">
        <v>162</v>
      </c>
      <c r="B32" s="145" t="str">
        <f>IF(ISBLANK(HVACR!B10),"",HVACR!B10)</f>
        <v/>
      </c>
      <c r="C32" s="145" t="str">
        <f>IF(ISBLANK(HVACR!C10),"",HVACR!C10)</f>
        <v/>
      </c>
      <c r="D32" s="145" t="str">
        <f>IF(ISBLANK(HVACR!D10),"",HVACR!D10)</f>
        <v/>
      </c>
    </row>
    <row r="33" spans="1:4" x14ac:dyDescent="0.25">
      <c r="A33" s="360" t="s">
        <v>163</v>
      </c>
      <c r="B33" s="361"/>
      <c r="C33" s="361"/>
      <c r="D33" s="362"/>
    </row>
    <row r="34" spans="1:4" x14ac:dyDescent="0.25">
      <c r="A34" s="136" t="s">
        <v>164</v>
      </c>
      <c r="B34" s="145" t="str">
        <f>IF(ISBLANK(HVACR!B12),"",HVACR!B12)</f>
        <v/>
      </c>
      <c r="C34" s="145" t="str">
        <f>IF(ISBLANK(HVACR!C12),"",HVACR!C12)</f>
        <v/>
      </c>
      <c r="D34" s="145" t="str">
        <f>IF(ISBLANK(HVACR!D12),"",HVACR!D12)</f>
        <v/>
      </c>
    </row>
    <row r="35" spans="1:4" ht="24" x14ac:dyDescent="0.25">
      <c r="A35" s="128" t="s">
        <v>165</v>
      </c>
      <c r="B35" s="145" t="str">
        <f>IF(ISBLANK(HVACR!B13),"",HVACR!B13)</f>
        <v/>
      </c>
      <c r="C35" s="145" t="str">
        <f>IF(ISBLANK(HVACR!C13),"",HVACR!C13)</f>
        <v/>
      </c>
      <c r="D35" s="145" t="str">
        <f>IF(ISBLANK(HVACR!D13),"",HVACR!D13)</f>
        <v/>
      </c>
    </row>
    <row r="36" spans="1:4" x14ac:dyDescent="0.25">
      <c r="A36" s="136" t="s">
        <v>166</v>
      </c>
      <c r="B36" s="145" t="str">
        <f>IF(ISBLANK(HVACR!B14),"",HVACR!B14)</f>
        <v/>
      </c>
      <c r="C36" s="145" t="str">
        <f>IF(ISBLANK(HVACR!C14),"",HVACR!C14)</f>
        <v/>
      </c>
      <c r="D36" s="145" t="str">
        <f>IF(ISBLANK(HVACR!D14),"",HVACR!D14)</f>
        <v/>
      </c>
    </row>
    <row r="37" spans="1:4" x14ac:dyDescent="0.25">
      <c r="A37" s="129" t="s">
        <v>167</v>
      </c>
      <c r="B37" s="130"/>
      <c r="C37" s="130"/>
      <c r="D37" s="130"/>
    </row>
    <row r="38" spans="1:4" x14ac:dyDescent="0.25">
      <c r="A38" s="354" t="s">
        <v>168</v>
      </c>
      <c r="B38" s="355"/>
      <c r="C38" s="355"/>
      <c r="D38" s="356"/>
    </row>
    <row r="39" spans="1:4" ht="24" x14ac:dyDescent="0.25">
      <c r="A39" s="138" t="s">
        <v>169</v>
      </c>
      <c r="B39" s="164"/>
      <c r="C39" s="164"/>
      <c r="D39" s="145" t="s">
        <v>170</v>
      </c>
    </row>
    <row r="40" spans="1:4" ht="24" x14ac:dyDescent="0.25">
      <c r="A40" s="131" t="s">
        <v>171</v>
      </c>
      <c r="B40" s="164"/>
      <c r="C40" s="145" t="s">
        <v>170</v>
      </c>
      <c r="D40" s="159"/>
    </row>
    <row r="41" spans="1:4" x14ac:dyDescent="0.25">
      <c r="A41" s="138" t="s">
        <v>172</v>
      </c>
      <c r="B41" s="164"/>
      <c r="C41" s="145" t="s">
        <v>170</v>
      </c>
      <c r="D41" s="159"/>
    </row>
    <row r="42" spans="1:4" x14ac:dyDescent="0.25">
      <c r="A42" s="357" t="s">
        <v>173</v>
      </c>
      <c r="B42" s="358"/>
      <c r="C42" s="358"/>
      <c r="D42" s="359"/>
    </row>
    <row r="43" spans="1:4" x14ac:dyDescent="0.25">
      <c r="A43" s="138" t="s">
        <v>174</v>
      </c>
      <c r="B43" s="145"/>
      <c r="C43" s="145" t="s">
        <v>170</v>
      </c>
      <c r="D43" s="167"/>
    </row>
    <row r="44" spans="1:4" x14ac:dyDescent="0.25">
      <c r="A44" s="357" t="s">
        <v>175</v>
      </c>
      <c r="B44" s="358"/>
      <c r="C44" s="358"/>
      <c r="D44" s="359"/>
    </row>
    <row r="45" spans="1:4" x14ac:dyDescent="0.25">
      <c r="A45" s="139" t="s">
        <v>176</v>
      </c>
      <c r="B45" s="145" t="str">
        <f>IF(ISBLANK(HVACR!B16),"",HVACR!B16)</f>
        <v/>
      </c>
      <c r="C45" s="145" t="str">
        <f>IF(ISBLANK(HVACR!C16),"",HVACR!C16)</f>
        <v/>
      </c>
      <c r="D45" s="145" t="str">
        <f>IF(ISBLANK(HVACR!D16),"",HVACR!D16)</f>
        <v/>
      </c>
    </row>
    <row r="46" spans="1:4" x14ac:dyDescent="0.25">
      <c r="A46" s="131" t="s">
        <v>177</v>
      </c>
      <c r="B46" s="145" t="str">
        <f>IF(ISBLANK(HVACR!B17),"",HVACR!B17)</f>
        <v/>
      </c>
      <c r="C46" s="145" t="str">
        <f>IF(ISBLANK(HVACR!C17),"",HVACR!C17)</f>
        <v/>
      </c>
      <c r="D46" s="145" t="str">
        <f>IF(ISBLANK(HVACR!D17),"",HVACR!D17)</f>
        <v/>
      </c>
    </row>
    <row r="47" spans="1:4" x14ac:dyDescent="0.25">
      <c r="A47" s="138" t="s">
        <v>178</v>
      </c>
      <c r="B47" s="145" t="str">
        <f>IF(ISBLANK(HVACR!B18),"",HVACR!B18)</f>
        <v/>
      </c>
      <c r="C47" s="145" t="str">
        <f>IF(ISBLANK(HVACR!C18),"",HVACR!C18)</f>
        <v/>
      </c>
      <c r="D47" s="145" t="str">
        <f>IF(ISBLANK(HVACR!D18),"",HVACR!D18)</f>
        <v/>
      </c>
    </row>
    <row r="48" spans="1:4" x14ac:dyDescent="0.25">
      <c r="A48" s="132" t="s">
        <v>179</v>
      </c>
      <c r="B48" s="145" t="str">
        <f>IF(ISBLANK(HVACR!B19),"",HVACR!B19)</f>
        <v/>
      </c>
      <c r="C48" s="145" t="str">
        <f>IF(ISBLANK(HVACR!C19),"",HVACR!C19)</f>
        <v/>
      </c>
      <c r="D48" s="145" t="str">
        <f>IF(ISBLANK(HVACR!D19),"",HVACR!D19)</f>
        <v/>
      </c>
    </row>
    <row r="49" spans="1:4" x14ac:dyDescent="0.25">
      <c r="A49" s="139" t="s">
        <v>180</v>
      </c>
      <c r="B49" s="145" t="str">
        <f>IF(ISBLANK(HVACR!B20),"",HVACR!B20)</f>
        <v/>
      </c>
      <c r="C49" s="145" t="str">
        <f>IF(ISBLANK(HVACR!C20),"",HVACR!C20)</f>
        <v/>
      </c>
      <c r="D49" s="145" t="str">
        <f>IF(ISBLANK(HVACR!D20),"",HVACR!D20)</f>
        <v/>
      </c>
    </row>
    <row r="50" spans="1:4" x14ac:dyDescent="0.25">
      <c r="A50" s="357" t="s">
        <v>181</v>
      </c>
      <c r="B50" s="358"/>
      <c r="C50" s="358"/>
      <c r="D50" s="359"/>
    </row>
    <row r="51" spans="1:4" ht="36" x14ac:dyDescent="0.25">
      <c r="A51" s="138" t="s">
        <v>182</v>
      </c>
      <c r="B51" s="145" t="str">
        <f>IF(ISBLANK(HVACR!B22),"",HVACR!B22)</f>
        <v/>
      </c>
      <c r="C51" s="145" t="str">
        <f>IF(ISBLANK(HVACR!C22),"",HVACR!C22)</f>
        <v/>
      </c>
      <c r="D51" s="145" t="str">
        <f>IF(ISBLANK(HVACR!D22),"",HVACR!D22)</f>
        <v/>
      </c>
    </row>
    <row r="52" spans="1:4" ht="36" x14ac:dyDescent="0.25">
      <c r="A52" s="131" t="s">
        <v>183</v>
      </c>
      <c r="B52" s="145" t="str">
        <f>IF(ISBLANK(HVACR!B23),"",HVACR!B23)</f>
        <v/>
      </c>
      <c r="C52" s="145" t="str">
        <f>IF(ISBLANK(HVACR!C23),"",HVACR!C23)</f>
        <v/>
      </c>
      <c r="D52" s="145" t="str">
        <f>IF(ISBLANK(HVACR!D23),"",HVACR!D23)</f>
        <v/>
      </c>
    </row>
    <row r="53" spans="1:4" x14ac:dyDescent="0.25">
      <c r="A53" s="138" t="s">
        <v>184</v>
      </c>
      <c r="B53" s="145" t="str">
        <f>IF(ISBLANK(HVACR!B24),"",HVACR!B24)</f>
        <v/>
      </c>
      <c r="C53" s="145" t="str">
        <f>IF(ISBLANK(HVACR!C24),"",HVACR!C24)</f>
        <v/>
      </c>
      <c r="D53" s="145" t="str">
        <f>IF(ISBLANK(HVACR!D24),"",HVACR!D24)</f>
        <v/>
      </c>
    </row>
    <row r="54" spans="1:4" ht="24" x14ac:dyDescent="0.25">
      <c r="A54" s="132" t="s">
        <v>185</v>
      </c>
      <c r="B54" s="145" t="str">
        <f>IF(ISBLANK(HVACR!B25),"",HVACR!B25)</f>
        <v/>
      </c>
      <c r="C54" s="145" t="str">
        <f>IF(ISBLANK(HVACR!C25),"",HVACR!C25)</f>
        <v/>
      </c>
      <c r="D54" s="145" t="str">
        <f>IF(ISBLANK(HVACR!D25),"",HVACR!D25)</f>
        <v/>
      </c>
    </row>
    <row r="55" spans="1:4" x14ac:dyDescent="0.25">
      <c r="A55" s="357" t="s">
        <v>186</v>
      </c>
      <c r="B55" s="358"/>
      <c r="C55" s="358"/>
      <c r="D55" s="359"/>
    </row>
    <row r="56" spans="1:4" x14ac:dyDescent="0.25">
      <c r="A56" s="354" t="s">
        <v>187</v>
      </c>
      <c r="B56" s="355"/>
      <c r="C56" s="355"/>
      <c r="D56" s="356"/>
    </row>
    <row r="57" spans="1:4" x14ac:dyDescent="0.25">
      <c r="A57" s="133" t="s">
        <v>188</v>
      </c>
      <c r="B57" s="355"/>
      <c r="C57" s="355"/>
      <c r="D57" s="356"/>
    </row>
    <row r="58" spans="1:4" x14ac:dyDescent="0.25">
      <c r="A58" s="136" t="s">
        <v>189</v>
      </c>
      <c r="B58" s="145" t="str">
        <f>IF(ISBLANK(HVACR!B28),"",HVACR!B28)</f>
        <v/>
      </c>
      <c r="C58" s="145" t="str">
        <f>IF(ISBLANK(HVACR!C28),"",HVACR!C28)</f>
        <v/>
      </c>
      <c r="D58" s="145" t="str">
        <f>IF(ISBLANK(HVACR!D28),"",HVACR!D28)</f>
        <v/>
      </c>
    </row>
    <row r="59" spans="1:4" x14ac:dyDescent="0.25">
      <c r="A59" s="136" t="s">
        <v>190</v>
      </c>
      <c r="B59" s="145" t="str">
        <f>IF(ISBLANK(HVACR!B29),"",HVACR!B29)</f>
        <v/>
      </c>
      <c r="C59" s="145" t="str">
        <f>IF(ISBLANK(HVACR!C29),"",HVACR!C29)</f>
        <v/>
      </c>
      <c r="D59" s="145" t="str">
        <f>IF(ISBLANK(HVACR!D29),"",HVACR!D29)</f>
        <v/>
      </c>
    </row>
    <row r="60" spans="1:4" x14ac:dyDescent="0.25">
      <c r="A60" s="132" t="s">
        <v>191</v>
      </c>
      <c r="B60" s="145" t="str">
        <f>IF(ISBLANK(HVACR!B30),"",HVACR!B30)</f>
        <v/>
      </c>
      <c r="C60" s="145" t="str">
        <f>IF(ISBLANK(HVACR!C30),"",HVACR!C30)</f>
        <v/>
      </c>
      <c r="D60" s="145" t="str">
        <f>IF(ISBLANK(HVACR!D30),"",HVACR!D30)</f>
        <v/>
      </c>
    </row>
    <row r="61" spans="1:4" x14ac:dyDescent="0.25">
      <c r="A61" s="138" t="s">
        <v>192</v>
      </c>
      <c r="B61" s="145" t="str">
        <f>IF(ISBLANK(HVACR!B31),"",HVACR!B31)</f>
        <v/>
      </c>
      <c r="C61" s="145" t="str">
        <f>IF(ISBLANK(HVACR!C31),"",HVACR!C31)</f>
        <v/>
      </c>
      <c r="D61" s="145" t="str">
        <f>IF(ISBLANK(HVACR!D31),"",HVACR!D31)</f>
        <v/>
      </c>
    </row>
    <row r="62" spans="1:4" x14ac:dyDescent="0.25">
      <c r="A62" s="132" t="s">
        <v>193</v>
      </c>
      <c r="B62" s="145" t="str">
        <f>IF(ISBLANK(HVACR!B32),"",HVACR!B32)</f>
        <v/>
      </c>
      <c r="C62" s="145" t="str">
        <f>IF(ISBLANK(HVACR!C32),"",HVACR!C32)</f>
        <v/>
      </c>
      <c r="D62" s="145" t="str">
        <f>IF(ISBLANK(HVACR!D32),"",HVACR!D32)</f>
        <v/>
      </c>
    </row>
    <row r="63" spans="1:4" x14ac:dyDescent="0.25">
      <c r="A63" s="360" t="s">
        <v>194</v>
      </c>
      <c r="B63" s="361"/>
      <c r="C63" s="361"/>
      <c r="D63" s="362"/>
    </row>
    <row r="64" spans="1:4" ht="24" x14ac:dyDescent="0.25">
      <c r="A64" s="139" t="s">
        <v>195</v>
      </c>
      <c r="B64" s="145" t="str">
        <f>IF(ISBLANK(HVACR!B34),"",HVACR!B34)</f>
        <v/>
      </c>
      <c r="C64" s="145" t="str">
        <f>IF(ISBLANK(HVACR!C34),"",HVACR!C34)</f>
        <v/>
      </c>
      <c r="D64" s="145" t="str">
        <f>IF(ISBLANK(HVACR!D34),"",HVACR!D34)</f>
        <v/>
      </c>
    </row>
    <row r="65" spans="1:4" ht="24" x14ac:dyDescent="0.25">
      <c r="A65" s="132" t="s">
        <v>196</v>
      </c>
      <c r="B65" s="145" t="str">
        <f>IF(ISBLANK(HVACR!B35),"",HVACR!B35)</f>
        <v/>
      </c>
      <c r="C65" s="145" t="str">
        <f>IF(ISBLANK(HVACR!C35),"",HVACR!C35)</f>
        <v/>
      </c>
      <c r="D65" s="145" t="str">
        <f>IF(ISBLANK(HVACR!D35),"",HVACR!D35)</f>
        <v/>
      </c>
    </row>
    <row r="66" spans="1:4" ht="24" x14ac:dyDescent="0.25">
      <c r="A66" s="139" t="s">
        <v>197</v>
      </c>
      <c r="B66" s="145" t="str">
        <f>IF(ISBLANK(HVACR!B36),"",HVACR!B36)</f>
        <v/>
      </c>
      <c r="C66" s="145" t="str">
        <f>IF(ISBLANK(HVACR!C36),"",HVACR!C36)</f>
        <v/>
      </c>
      <c r="D66" s="145" t="str">
        <f>IF(ISBLANK(HVACR!D36),"",HVACR!D36)</f>
        <v/>
      </c>
    </row>
    <row r="67" spans="1:4" x14ac:dyDescent="0.25">
      <c r="A67" s="357" t="s">
        <v>198</v>
      </c>
      <c r="B67" s="358"/>
      <c r="C67" s="358"/>
      <c r="D67" s="359"/>
    </row>
    <row r="68" spans="1:4" ht="60" x14ac:dyDescent="0.25">
      <c r="A68" s="138" t="s">
        <v>199</v>
      </c>
      <c r="B68" s="145" t="str">
        <f>IF(ISBLANK(HVACR!B38),"",HVACR!B38)</f>
        <v/>
      </c>
      <c r="C68" s="145" t="str">
        <f>IF(ISBLANK(HVACR!C38),"",HVACR!C38)</f>
        <v/>
      </c>
      <c r="D68" s="145" t="str">
        <f>IF(ISBLANK(HVACR!D38),"",HVACR!D38)</f>
        <v/>
      </c>
    </row>
    <row r="69" spans="1:4" ht="48" x14ac:dyDescent="0.25">
      <c r="A69" s="131" t="s">
        <v>200</v>
      </c>
      <c r="B69" s="145" t="str">
        <f>IF(ISBLANK(HVACR!B39),"",HVACR!B39)</f>
        <v/>
      </c>
      <c r="C69" s="145" t="str">
        <f>IF(ISBLANK(HVACR!C39),"",HVACR!C39)</f>
        <v/>
      </c>
      <c r="D69" s="145" t="str">
        <f>IF(ISBLANK(HVACR!D39),"",HVACR!D39)</f>
        <v/>
      </c>
    </row>
    <row r="70" spans="1:4" ht="36" x14ac:dyDescent="0.25">
      <c r="A70" s="138" t="s">
        <v>201</v>
      </c>
      <c r="B70" s="145" t="str">
        <f>IF(ISBLANK(HVACR!B40),"",HVACR!B40)</f>
        <v/>
      </c>
      <c r="C70" s="145" t="str">
        <f>IF(ISBLANK(HVACR!C40),"",HVACR!C40)</f>
        <v/>
      </c>
      <c r="D70" s="145" t="str">
        <f>IF(ISBLANK(HVACR!D40),"",HVACR!D40)</f>
        <v/>
      </c>
    </row>
    <row r="71" spans="1:4" x14ac:dyDescent="0.25">
      <c r="A71" s="357" t="s">
        <v>202</v>
      </c>
      <c r="B71" s="358"/>
      <c r="C71" s="358"/>
      <c r="D71" s="359"/>
    </row>
    <row r="72" spans="1:4" x14ac:dyDescent="0.25">
      <c r="A72" s="138" t="s">
        <v>203</v>
      </c>
      <c r="B72" s="145" t="str">
        <f>IF(ISBLANK(HVACR!B42),"",HVACR!B42)</f>
        <v/>
      </c>
      <c r="C72" s="145" t="str">
        <f>IF(ISBLANK(HVACR!C42),"",HVACR!C42)</f>
        <v/>
      </c>
      <c r="D72" s="145" t="str">
        <f>IF(ISBLANK(HVACR!D42),"",HVACR!D42)</f>
        <v/>
      </c>
    </row>
    <row r="73" spans="1:4" x14ac:dyDescent="0.25">
      <c r="A73" s="132" t="s">
        <v>204</v>
      </c>
      <c r="B73" s="145" t="str">
        <f>IF(ISBLANK(HVACR!B43),"",HVACR!B43)</f>
        <v/>
      </c>
      <c r="C73" s="145" t="str">
        <f>IF(ISBLANK(HVACR!C43),"",HVACR!C43)</f>
        <v/>
      </c>
      <c r="D73" s="145" t="str">
        <f>IF(ISBLANK(HVACR!D43),"",HVACR!D43)</f>
        <v/>
      </c>
    </row>
    <row r="74" spans="1:4" x14ac:dyDescent="0.25">
      <c r="A74" s="138" t="s">
        <v>205</v>
      </c>
      <c r="B74" s="145" t="str">
        <f>IF(ISBLANK(HVACR!B44),"",HVACR!B44)</f>
        <v/>
      </c>
      <c r="C74" s="145" t="str">
        <f>IF(ISBLANK(HVACR!C44),"",HVACR!C44)</f>
        <v/>
      </c>
      <c r="D74" s="145" t="str">
        <f>IF(ISBLANK(HVACR!D44),"",HVACR!D44)</f>
        <v/>
      </c>
    </row>
    <row r="75" spans="1:4" ht="24" x14ac:dyDescent="0.25">
      <c r="A75" s="138" t="s">
        <v>206</v>
      </c>
      <c r="B75" s="145" t="str">
        <f>IF(ISBLANK(HVACR!B45),"",HVACR!B45)</f>
        <v/>
      </c>
      <c r="C75" s="145" t="str">
        <f>IF(ISBLANK(HVACR!C45),"",HVACR!C45)</f>
        <v/>
      </c>
      <c r="D75" s="145" t="str">
        <f>IF(ISBLANK(HVACR!D45),"",HVACR!D45)</f>
        <v/>
      </c>
    </row>
    <row r="76" spans="1:4" x14ac:dyDescent="0.25">
      <c r="A76" s="294" t="s">
        <v>426</v>
      </c>
      <c r="B76" s="134" t="s">
        <v>70</v>
      </c>
      <c r="C76" s="363" t="e">
        <f>INDEX(Office!M4:M8,MATCH(REPT("z",225),Office!M4:M8))</f>
        <v>#N/A</v>
      </c>
      <c r="D76" s="364"/>
    </row>
    <row r="77" spans="1:4" x14ac:dyDescent="0.25">
      <c r="A77" s="123"/>
      <c r="B77" s="134" t="s">
        <v>207</v>
      </c>
      <c r="C77" s="363" t="str">
        <f>INDEX(Office!J4:J9,MATCH(REPT("z",225),Office!J4:J9))</f>
        <v>2.11.18</v>
      </c>
      <c r="D77" s="364"/>
    </row>
  </sheetData>
  <sheetProtection password="CC15" sheet="1" objects="1" scenarios="1"/>
  <mergeCells count="17">
    <mergeCell ref="B57:D57"/>
    <mergeCell ref="A3:D3"/>
    <mergeCell ref="A6:D6"/>
    <mergeCell ref="A20:D20"/>
    <mergeCell ref="A24:D24"/>
    <mergeCell ref="A33:D33"/>
    <mergeCell ref="A38:D38"/>
    <mergeCell ref="A42:D42"/>
    <mergeCell ref="A44:D44"/>
    <mergeCell ref="A50:D50"/>
    <mergeCell ref="A55:D55"/>
    <mergeCell ref="A56:D56"/>
    <mergeCell ref="A63:D63"/>
    <mergeCell ref="A67:D67"/>
    <mergeCell ref="A71:D71"/>
    <mergeCell ref="C76:D76"/>
    <mergeCell ref="C77:D77"/>
  </mergeCells>
  <pageMargins left="0.2" right="0.2" top="0.25" bottom="0.25" header="0.3" footer="0.3"/>
  <pageSetup scale="75" fitToHeight="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F38"/>
  <sheetViews>
    <sheetView showGridLines="0" showRowColHeaders="0" zoomScaleNormal="100" workbookViewId="0">
      <selection activeCell="B1" sqref="B1:D1"/>
    </sheetView>
  </sheetViews>
  <sheetFormatPr defaultRowHeight="15" x14ac:dyDescent="0.25"/>
  <cols>
    <col min="1" max="1" width="16.140625" customWidth="1"/>
    <col min="2" max="2" width="10.7109375" customWidth="1"/>
    <col min="3" max="3" width="12.5703125" customWidth="1"/>
    <col min="4" max="4" width="18.7109375" customWidth="1"/>
    <col min="5" max="5" width="11.7109375" customWidth="1"/>
    <col min="6" max="6" width="17.28515625" customWidth="1"/>
  </cols>
  <sheetData>
    <row r="1" spans="1:6" ht="18" customHeight="1" x14ac:dyDescent="0.25">
      <c r="A1" s="291" t="s">
        <v>0</v>
      </c>
      <c r="B1" s="410" t="str">
        <f>IF(ISBLANK(Office!C3),"",Office!C3)</f>
        <v/>
      </c>
      <c r="C1" s="410"/>
      <c r="D1" s="411"/>
      <c r="E1" s="292" t="s">
        <v>425</v>
      </c>
      <c r="F1" s="293" t="str">
        <f>IF(ISBLANK(Office!G7),"",Office!G7)</f>
        <v/>
      </c>
    </row>
    <row r="2" spans="1:6" ht="18" customHeight="1" x14ac:dyDescent="0.25">
      <c r="A2" s="170" t="s">
        <v>71</v>
      </c>
      <c r="B2" s="168" t="str">
        <f>IF(ISBLANK(Office!H3),"",Office!H3)</f>
        <v/>
      </c>
      <c r="C2" s="169" t="s">
        <v>6</v>
      </c>
      <c r="D2" s="406" t="str">
        <f>IF(ISBLANK(Office!G3),"",Office!G3)</f>
        <v/>
      </c>
      <c r="E2" s="406"/>
      <c r="F2" s="407"/>
    </row>
    <row r="3" spans="1:6" ht="18" customHeight="1" x14ac:dyDescent="0.25">
      <c r="A3" s="56" t="s">
        <v>102</v>
      </c>
      <c r="B3" s="121" t="str">
        <f>IF(ISBLANK(Office!F7),"",Office!F7)</f>
        <v/>
      </c>
      <c r="C3" s="122" t="s">
        <v>428</v>
      </c>
      <c r="D3" s="412" t="str">
        <f>IF(ISBLANK(Office!A3),"",Office!A3)</f>
        <v/>
      </c>
      <c r="E3" s="412"/>
      <c r="F3" s="413"/>
    </row>
    <row r="4" spans="1:6" ht="18" customHeight="1" thickBot="1" x14ac:dyDescent="0.3">
      <c r="A4" s="55" t="s">
        <v>129</v>
      </c>
      <c r="B4" s="181"/>
      <c r="C4" s="54" t="s">
        <v>130</v>
      </c>
      <c r="D4" s="386"/>
      <c r="E4" s="386"/>
      <c r="F4" s="387"/>
    </row>
    <row r="5" spans="1:6" ht="6" customHeight="1" thickBot="1" x14ac:dyDescent="0.3">
      <c r="A5" s="111"/>
      <c r="B5" s="112"/>
      <c r="C5" s="113"/>
      <c r="D5" s="114"/>
      <c r="E5" s="114"/>
      <c r="F5" s="115"/>
    </row>
    <row r="6" spans="1:6" ht="18" customHeight="1" x14ac:dyDescent="0.25">
      <c r="A6" s="383" t="s">
        <v>128</v>
      </c>
      <c r="B6" s="119" t="s">
        <v>125</v>
      </c>
      <c r="C6" s="116">
        <f>regression!F14</f>
        <v>6.208231072107222</v>
      </c>
      <c r="D6" s="117"/>
      <c r="E6" s="117"/>
      <c r="F6" s="118"/>
    </row>
    <row r="7" spans="1:6" ht="18" customHeight="1" x14ac:dyDescent="0.25">
      <c r="A7" s="384"/>
      <c r="B7" s="207" t="s">
        <v>391</v>
      </c>
      <c r="C7" s="208" t="s">
        <v>387</v>
      </c>
      <c r="D7" s="210" t="str">
        <f>IF(Performance!D9="","N/A",Performance!D9)</f>
        <v>N/A</v>
      </c>
      <c r="E7" s="209" t="s">
        <v>389</v>
      </c>
      <c r="F7" s="211" t="str">
        <f>IF(Performance!G9="","N/A",Performance!G9)</f>
        <v>N/A</v>
      </c>
    </row>
    <row r="8" spans="1:6" ht="18" customHeight="1" x14ac:dyDescent="0.25">
      <c r="A8" s="384"/>
      <c r="B8" s="207" t="s">
        <v>127</v>
      </c>
      <c r="C8" s="208" t="s">
        <v>388</v>
      </c>
      <c r="D8" s="210" t="str">
        <f>IF(Performance!D10="","N/A",Performance!D10)</f>
        <v>N/A</v>
      </c>
      <c r="E8" s="209" t="s">
        <v>389</v>
      </c>
      <c r="F8" s="211" t="str">
        <f>IF(Performance!G10="","N/A",Performance!G10)</f>
        <v>N/A</v>
      </c>
    </row>
    <row r="9" spans="1:6" ht="18.600000000000001" customHeight="1" thickBot="1" x14ac:dyDescent="0.3">
      <c r="A9" s="385"/>
      <c r="B9" s="205" t="s">
        <v>390</v>
      </c>
      <c r="C9" s="206" t="s">
        <v>388</v>
      </c>
      <c r="D9" s="212" t="str">
        <f>IF(Performance!D11="","N/A",Performance!D11)</f>
        <v>N/A</v>
      </c>
      <c r="E9" s="214" t="s">
        <v>389</v>
      </c>
      <c r="F9" s="213" t="str">
        <f>IF(Performance!G11="","N/A",Performance!G11)</f>
        <v>N/A</v>
      </c>
    </row>
    <row r="10" spans="1:6" ht="6" customHeight="1" thickBot="1" x14ac:dyDescent="0.3">
      <c r="A10" s="289"/>
      <c r="B10" s="112"/>
      <c r="C10" s="113"/>
      <c r="D10" s="114"/>
      <c r="E10" s="114"/>
      <c r="F10" s="115"/>
    </row>
    <row r="11" spans="1:6" ht="23.45" customHeight="1" x14ac:dyDescent="0.25">
      <c r="A11" s="120" t="s">
        <v>107</v>
      </c>
      <c r="B11" s="409" t="s">
        <v>108</v>
      </c>
      <c r="C11" s="409"/>
      <c r="D11" s="288" t="s">
        <v>70</v>
      </c>
      <c r="E11" s="404" t="s">
        <v>106</v>
      </c>
      <c r="F11" s="405"/>
    </row>
    <row r="12" spans="1:6" ht="18" customHeight="1" x14ac:dyDescent="0.25">
      <c r="A12" s="284" t="str">
        <f>IF(ISBLANK(Office!J4),"",Office!J4)</f>
        <v>2.11.18</v>
      </c>
      <c r="B12" s="393" t="str">
        <f>IF(ISBLANK(Office!K4),"",Office!K4)</f>
        <v>FINAL</v>
      </c>
      <c r="C12" s="408"/>
      <c r="D12" s="175" t="str">
        <f>+IF(ISBLANK(Office!M4),"",Office!M4)</f>
        <v/>
      </c>
      <c r="E12" s="388" t="s">
        <v>430</v>
      </c>
      <c r="F12" s="389"/>
    </row>
    <row r="13" spans="1:6" ht="18" customHeight="1" x14ac:dyDescent="0.25">
      <c r="A13" s="414"/>
      <c r="B13" s="415"/>
      <c r="C13" s="415"/>
      <c r="D13" s="416"/>
      <c r="E13" s="415"/>
      <c r="F13" s="417"/>
    </row>
    <row r="14" spans="1:6" ht="18" customHeight="1" x14ac:dyDescent="0.25">
      <c r="A14" s="418"/>
      <c r="B14" s="416"/>
      <c r="C14" s="416"/>
      <c r="D14" s="416"/>
      <c r="E14" s="416"/>
      <c r="F14" s="419"/>
    </row>
    <row r="15" spans="1:6" ht="18" customHeight="1" x14ac:dyDescent="0.25">
      <c r="A15" s="420"/>
      <c r="B15" s="421"/>
      <c r="C15" s="421"/>
      <c r="D15" s="421"/>
      <c r="E15" s="421"/>
      <c r="F15" s="422"/>
    </row>
    <row r="16" spans="1:6" ht="5.45" customHeight="1" x14ac:dyDescent="0.25">
      <c r="A16" s="71"/>
      <c r="B16" s="50"/>
      <c r="C16" s="50"/>
      <c r="D16" s="50"/>
      <c r="E16" s="50"/>
      <c r="F16" s="72"/>
    </row>
    <row r="17" spans="1:6" ht="18" customHeight="1" x14ac:dyDescent="0.25">
      <c r="A17" s="285" t="str">
        <f>IF(ISBLANK(Office!J5),"",Office!J5)</f>
        <v/>
      </c>
      <c r="B17" s="393" t="str">
        <f>IF(ISBLANK(Office!K5),"",Office!K5)</f>
        <v/>
      </c>
      <c r="C17" s="394"/>
      <c r="D17" s="175" t="str">
        <f>IF(ISBLANK(Office!M5),"",Office!M5)</f>
        <v/>
      </c>
      <c r="E17" s="388"/>
      <c r="F17" s="389"/>
    </row>
    <row r="18" spans="1:6" ht="18" customHeight="1" x14ac:dyDescent="0.25">
      <c r="A18" s="423"/>
      <c r="B18" s="424"/>
      <c r="C18" s="424"/>
      <c r="D18" s="424"/>
      <c r="E18" s="424"/>
      <c r="F18" s="425"/>
    </row>
    <row r="19" spans="1:6" ht="18" customHeight="1" x14ac:dyDescent="0.25">
      <c r="A19" s="426"/>
      <c r="B19" s="427"/>
      <c r="C19" s="427"/>
      <c r="D19" s="427"/>
      <c r="E19" s="427"/>
      <c r="F19" s="428"/>
    </row>
    <row r="20" spans="1:6" ht="18" customHeight="1" x14ac:dyDescent="0.25">
      <c r="A20" s="429"/>
      <c r="B20" s="430"/>
      <c r="C20" s="430"/>
      <c r="D20" s="430"/>
      <c r="E20" s="430"/>
      <c r="F20" s="431"/>
    </row>
    <row r="21" spans="1:6" ht="5.45" customHeight="1" x14ac:dyDescent="0.25">
      <c r="A21" s="73"/>
      <c r="B21" s="74"/>
      <c r="C21" s="74"/>
      <c r="D21" s="74"/>
      <c r="E21" s="74"/>
      <c r="F21" s="75"/>
    </row>
    <row r="22" spans="1:6" ht="18" customHeight="1" x14ac:dyDescent="0.25">
      <c r="A22" s="285" t="str">
        <f>IF(ISBLANK(Office!J6),"",Office!J6)</f>
        <v/>
      </c>
      <c r="B22" s="393" t="str">
        <f>IF(ISBLANK(Office!K6),"",Office!K6)</f>
        <v/>
      </c>
      <c r="C22" s="394"/>
      <c r="D22" s="175" t="str">
        <f>IF(ISBLANK(Office!M6),"",Office!M6)</f>
        <v/>
      </c>
      <c r="E22" s="388"/>
      <c r="F22" s="389"/>
    </row>
    <row r="23" spans="1:6" ht="18" customHeight="1" x14ac:dyDescent="0.25">
      <c r="A23" s="395"/>
      <c r="B23" s="396"/>
      <c r="C23" s="396"/>
      <c r="D23" s="396"/>
      <c r="E23" s="396"/>
      <c r="F23" s="397"/>
    </row>
    <row r="24" spans="1:6" ht="18" customHeight="1" x14ac:dyDescent="0.25">
      <c r="A24" s="398"/>
      <c r="B24" s="399"/>
      <c r="C24" s="399"/>
      <c r="D24" s="399"/>
      <c r="E24" s="399"/>
      <c r="F24" s="400"/>
    </row>
    <row r="25" spans="1:6" ht="18" customHeight="1" x14ac:dyDescent="0.25">
      <c r="A25" s="401"/>
      <c r="B25" s="402"/>
      <c r="C25" s="402"/>
      <c r="D25" s="402"/>
      <c r="E25" s="402"/>
      <c r="F25" s="403"/>
    </row>
    <row r="26" spans="1:6" ht="5.45" customHeight="1" x14ac:dyDescent="0.25">
      <c r="A26" s="76"/>
      <c r="B26" s="51"/>
      <c r="C26" s="51"/>
      <c r="D26" s="51"/>
      <c r="E26" s="51"/>
      <c r="F26" s="77"/>
    </row>
    <row r="27" spans="1:6" ht="18" customHeight="1" x14ac:dyDescent="0.25">
      <c r="A27" s="285" t="str">
        <f>IF(ISBLANK(Office!J7),"",Office!J7)</f>
        <v/>
      </c>
      <c r="B27" s="393" t="str">
        <f>IF(ISBLANK(Office!K7),"",Office!K7)</f>
        <v/>
      </c>
      <c r="C27" s="394"/>
      <c r="D27" s="175" t="str">
        <f>IF(ISBLANK(Office!M7),"",Office!M7)</f>
        <v/>
      </c>
      <c r="E27" s="388"/>
      <c r="F27" s="389"/>
    </row>
    <row r="28" spans="1:6" ht="18" customHeight="1" x14ac:dyDescent="0.25">
      <c r="A28" s="395"/>
      <c r="B28" s="396"/>
      <c r="C28" s="396"/>
      <c r="D28" s="396"/>
      <c r="E28" s="396"/>
      <c r="F28" s="397"/>
    </row>
    <row r="29" spans="1:6" ht="18" customHeight="1" x14ac:dyDescent="0.25">
      <c r="A29" s="398"/>
      <c r="B29" s="399"/>
      <c r="C29" s="399"/>
      <c r="D29" s="399"/>
      <c r="E29" s="399"/>
      <c r="F29" s="400"/>
    </row>
    <row r="30" spans="1:6" ht="18" customHeight="1" x14ac:dyDescent="0.25">
      <c r="A30" s="401"/>
      <c r="B30" s="402"/>
      <c r="C30" s="402"/>
      <c r="D30" s="402"/>
      <c r="E30" s="402"/>
      <c r="F30" s="403"/>
    </row>
    <row r="31" spans="1:6" ht="18" customHeight="1" x14ac:dyDescent="0.25">
      <c r="A31" s="284" t="str">
        <f>IF(ISBLANK(Office!J8),"",Office!J8)</f>
        <v/>
      </c>
      <c r="B31" s="393" t="str">
        <f>IF(ISBLANK(Office!K8),"",Office!K8)</f>
        <v/>
      </c>
      <c r="C31" s="394"/>
      <c r="D31" s="175" t="str">
        <f>IF(ISBLANK(Office!M8),"",Office!M8)</f>
        <v/>
      </c>
      <c r="E31" s="388"/>
      <c r="F31" s="389"/>
    </row>
    <row r="32" spans="1:6" ht="18" customHeight="1" x14ac:dyDescent="0.25">
      <c r="A32" s="395"/>
      <c r="B32" s="396"/>
      <c r="C32" s="396"/>
      <c r="D32" s="396"/>
      <c r="E32" s="396"/>
      <c r="F32" s="397"/>
    </row>
    <row r="33" spans="1:6" ht="18" customHeight="1" x14ac:dyDescent="0.25">
      <c r="A33" s="398"/>
      <c r="B33" s="399"/>
      <c r="C33" s="399"/>
      <c r="D33" s="399"/>
      <c r="E33" s="399"/>
      <c r="F33" s="400"/>
    </row>
    <row r="34" spans="1:6" ht="18" customHeight="1" x14ac:dyDescent="0.25">
      <c r="A34" s="401"/>
      <c r="B34" s="402"/>
      <c r="C34" s="402"/>
      <c r="D34" s="402"/>
      <c r="E34" s="402"/>
      <c r="F34" s="403"/>
    </row>
    <row r="35" spans="1:6" ht="21.6" customHeight="1" thickBot="1" x14ac:dyDescent="0.3">
      <c r="A35" s="390" t="s">
        <v>109</v>
      </c>
      <c r="B35" s="391"/>
      <c r="C35" s="391"/>
      <c r="D35" s="391"/>
      <c r="E35" s="391"/>
      <c r="F35" s="392"/>
    </row>
    <row r="36" spans="1:6" ht="14.45" customHeight="1" x14ac:dyDescent="0.25">
      <c r="A36" s="380" t="s">
        <v>18</v>
      </c>
      <c r="B36" s="381"/>
      <c r="C36" s="381"/>
      <c r="D36" s="381"/>
      <c r="E36" s="381"/>
      <c r="F36" s="382"/>
    </row>
    <row r="37" spans="1:6" x14ac:dyDescent="0.25">
      <c r="A37" s="374"/>
      <c r="B37" s="375"/>
      <c r="C37" s="375"/>
      <c r="D37" s="375"/>
      <c r="E37" s="375"/>
      <c r="F37" s="376"/>
    </row>
    <row r="38" spans="1:6" ht="15.75" thickBot="1" x14ac:dyDescent="0.3">
      <c r="A38" s="377"/>
      <c r="B38" s="378"/>
      <c r="C38" s="378"/>
      <c r="D38" s="378"/>
      <c r="E38" s="378"/>
      <c r="F38" s="379"/>
    </row>
  </sheetData>
  <sheetProtection password="CC15" sheet="1" objects="1" scenarios="1"/>
  <mergeCells count="25">
    <mergeCell ref="A23:F25"/>
    <mergeCell ref="D2:F2"/>
    <mergeCell ref="B12:C12"/>
    <mergeCell ref="B11:C11"/>
    <mergeCell ref="B1:D1"/>
    <mergeCell ref="D3:F3"/>
    <mergeCell ref="B17:C17"/>
    <mergeCell ref="A13:F15"/>
    <mergeCell ref="A18:F20"/>
    <mergeCell ref="A37:F38"/>
    <mergeCell ref="A36:F36"/>
    <mergeCell ref="A6:A9"/>
    <mergeCell ref="D4:F4"/>
    <mergeCell ref="E12:F12"/>
    <mergeCell ref="A35:F35"/>
    <mergeCell ref="B27:C27"/>
    <mergeCell ref="A28:F30"/>
    <mergeCell ref="B31:C31"/>
    <mergeCell ref="A32:F34"/>
    <mergeCell ref="E27:F27"/>
    <mergeCell ref="E31:F31"/>
    <mergeCell ref="E11:F11"/>
    <mergeCell ref="B22:C22"/>
    <mergeCell ref="E17:F17"/>
    <mergeCell ref="E22:F22"/>
  </mergeCells>
  <dataValidations count="1">
    <dataValidation type="list" allowBlank="1" showInputMessage="1" showErrorMessage="1" sqref="E12:F12 E17:F17 E22:F22 E27:F27 E31:F31" xr:uid="{00000000-0002-0000-0300-000000000000}">
      <formula1>"PASS,PASS w/ corrections,FAIL"</formula1>
    </dataValidation>
  </dataValidations>
  <pageMargins left="0.7" right="0.7" top="0.75" bottom="0.75" header="0.3" footer="0.3"/>
  <pageSetup scale="9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D28"/>
  <sheetViews>
    <sheetView showGridLines="0" showRowColHeaders="0" topLeftCell="B1" zoomScale="150" zoomScaleNormal="150" workbookViewId="0">
      <selection activeCell="B8" sqref="B8"/>
    </sheetView>
  </sheetViews>
  <sheetFormatPr defaultRowHeight="15" x14ac:dyDescent="0.25"/>
  <cols>
    <col min="1" max="1" width="16.140625" customWidth="1"/>
    <col min="2" max="4" width="10" customWidth="1"/>
  </cols>
  <sheetData>
    <row r="1" spans="1:4" ht="17.25" x14ac:dyDescent="0.3">
      <c r="A1" s="187"/>
      <c r="B1" s="188" t="s">
        <v>74</v>
      </c>
      <c r="C1" s="188" t="s">
        <v>75</v>
      </c>
      <c r="D1" s="189" t="s">
        <v>380</v>
      </c>
    </row>
    <row r="2" spans="1:4" x14ac:dyDescent="0.25">
      <c r="A2" s="78" t="s">
        <v>5</v>
      </c>
      <c r="B2" s="93"/>
      <c r="C2" s="218"/>
      <c r="D2" s="90"/>
    </row>
    <row r="3" spans="1:4" ht="18" customHeight="1" x14ac:dyDescent="0.25">
      <c r="A3" s="78" t="s">
        <v>29</v>
      </c>
      <c r="B3" s="93"/>
      <c r="C3" s="218"/>
      <c r="D3" s="90"/>
    </row>
    <row r="4" spans="1:4" ht="18" customHeight="1" x14ac:dyDescent="0.25">
      <c r="A4" s="78" t="s">
        <v>381</v>
      </c>
      <c r="B4" s="93"/>
      <c r="C4" s="218"/>
      <c r="D4" s="90"/>
    </row>
    <row r="5" spans="1:4" ht="18" customHeight="1" x14ac:dyDescent="0.25">
      <c r="A5" s="78" t="s">
        <v>24</v>
      </c>
      <c r="B5" s="93"/>
      <c r="C5" s="218"/>
      <c r="D5" s="90"/>
    </row>
    <row r="6" spans="1:4" ht="18" customHeight="1" x14ac:dyDescent="0.25">
      <c r="A6" s="78" t="s">
        <v>94</v>
      </c>
      <c r="B6" s="93"/>
      <c r="C6" s="218"/>
      <c r="D6" s="90"/>
    </row>
    <row r="7" spans="1:4" ht="18" customHeight="1" x14ac:dyDescent="0.25">
      <c r="A7" s="78" t="s">
        <v>382</v>
      </c>
      <c r="B7" s="93"/>
      <c r="C7" s="218"/>
      <c r="D7" s="90"/>
    </row>
    <row r="8" spans="1:4" ht="18" customHeight="1" x14ac:dyDescent="0.25">
      <c r="A8" s="78" t="s">
        <v>23</v>
      </c>
      <c r="B8" s="93"/>
      <c r="C8" s="218"/>
      <c r="D8" s="90"/>
    </row>
    <row r="9" spans="1:4" ht="18" customHeight="1" x14ac:dyDescent="0.25">
      <c r="A9" s="78" t="s">
        <v>25</v>
      </c>
      <c r="B9" s="93"/>
      <c r="C9" s="218"/>
      <c r="D9" s="90"/>
    </row>
    <row r="10" spans="1:4" ht="18" customHeight="1" x14ac:dyDescent="0.25">
      <c r="A10" s="78" t="s">
        <v>27</v>
      </c>
      <c r="B10" s="93"/>
      <c r="C10" s="218"/>
      <c r="D10" s="90"/>
    </row>
    <row r="11" spans="1:4" ht="18" customHeight="1" x14ac:dyDescent="0.25">
      <c r="A11" s="78" t="s">
        <v>28</v>
      </c>
      <c r="B11" s="93"/>
      <c r="C11" s="218"/>
      <c r="D11" s="90"/>
    </row>
    <row r="12" spans="1:4" ht="18" customHeight="1" x14ac:dyDescent="0.25">
      <c r="A12" s="432" t="s">
        <v>68</v>
      </c>
      <c r="B12" s="433"/>
      <c r="C12" s="433"/>
      <c r="D12" s="434"/>
    </row>
    <row r="13" spans="1:4" ht="18" customHeight="1" x14ac:dyDescent="0.25">
      <c r="A13" s="435"/>
      <c r="B13" s="436"/>
      <c r="C13" s="436"/>
      <c r="D13" s="437"/>
    </row>
    <row r="14" spans="1:4" ht="18" customHeight="1" x14ac:dyDescent="0.25">
      <c r="A14" s="435"/>
      <c r="B14" s="436"/>
      <c r="C14" s="436"/>
      <c r="D14" s="437"/>
    </row>
    <row r="15" spans="1:4" ht="18" customHeight="1" thickBot="1" x14ac:dyDescent="0.3">
      <c r="A15" s="438"/>
      <c r="B15" s="439"/>
      <c r="C15" s="439"/>
      <c r="D15" s="440"/>
    </row>
    <row r="16" spans="1:4"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sheetData>
  <sheetProtection password="CC15" sheet="1" objects="1" scenarios="1"/>
  <mergeCells count="2">
    <mergeCell ref="A12:D12"/>
    <mergeCell ref="A13:D15"/>
  </mergeCells>
  <dataValidations count="7">
    <dataValidation type="list" allowBlank="1" showInputMessage="1" showErrorMessage="1" sqref="B5" xr:uid="{00000000-0002-0000-0400-000000000000}">
      <formula1>"Trane,Tempstar,Mitshbishi,Lennox,Int'l Comfort,Goodman,Carrier,Bryant,Airquest,other(notes)"</formula1>
    </dataValidation>
    <dataValidation type="list" allowBlank="1" showInputMessage="1" showErrorMessage="1" sqref="B10:D11" xr:uid="{00000000-0002-0000-0400-000001000000}">
      <formula1>"main,attic,n/a"</formula1>
    </dataValidation>
    <dataValidation type="list" allowBlank="1" showInputMessage="1" showErrorMessage="1" sqref="B8:D8" xr:uid="{00000000-0002-0000-0400-000002000000}">
      <formula1>"n/a,3 kW,5 kW,7.5 kW,10 kW,other(notes)"</formula1>
    </dataValidation>
    <dataValidation type="list" allowBlank="1" showInputMessage="1" showErrorMessage="1" sqref="B9:D9" xr:uid="{00000000-0002-0000-0400-000003000000}">
      <formula1>"main,attic,garage,n/a"</formula1>
    </dataValidation>
    <dataValidation type="list" allowBlank="1" showInputMessage="1" showErrorMessage="1" sqref="C5:D5" xr:uid="{00000000-0002-0000-0400-000004000000}">
      <formula1>"Trane,Tempstar,Mitsubishi,Lennox,Int'l Comfort,Goodman,Carrier,Bryant,Airquest,other(notes)"</formula1>
    </dataValidation>
    <dataValidation type="list" allowBlank="1" showInputMessage="1" showErrorMessage="1" sqref="B2:D2" xr:uid="{00000000-0002-0000-0400-000005000000}">
      <formula1>"split dx,heat pump,PTAC,mini split,other(notes)"</formula1>
    </dataValidation>
    <dataValidation type="list" allowBlank="1" showInputMessage="1" showErrorMessage="1" sqref="B3:D3" xr:uid="{00000000-0002-0000-0400-000006000000}">
      <formula1>"main,1st floor,2nd floor,master,other(notes)"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
  <sheetViews>
    <sheetView zoomScale="80" zoomScaleNormal="80" zoomScaleSheetLayoutView="100" workbookViewId="0"/>
  </sheetViews>
  <sheetFormatPr defaultRowHeight="15" x14ac:dyDescent="0.25"/>
  <sheetData/>
  <pageMargins left="0" right="0" top="0" bottom="0" header="0" footer="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F24"/>
  <sheetViews>
    <sheetView showGridLines="0" showRowColHeaders="0" topLeftCell="A4" zoomScale="130" zoomScaleNormal="130" workbookViewId="0">
      <selection activeCell="C4" sqref="C4:D5"/>
    </sheetView>
  </sheetViews>
  <sheetFormatPr defaultRowHeight="15" x14ac:dyDescent="0.25"/>
  <cols>
    <col min="1" max="1" width="9" customWidth="1"/>
    <col min="2" max="2" width="10.5703125" customWidth="1"/>
    <col min="3" max="3" width="10.140625" customWidth="1"/>
    <col min="4" max="4" width="13.140625" customWidth="1"/>
    <col min="5" max="5" width="10.28515625" customWidth="1"/>
    <col min="6" max="6" width="12.5703125" customWidth="1"/>
    <col min="8" max="8" width="10" customWidth="1"/>
    <col min="9" max="10" width="9.28515625" customWidth="1"/>
  </cols>
  <sheetData>
    <row r="1" spans="1:6" ht="17.45" customHeight="1" x14ac:dyDescent="0.25">
      <c r="A1" s="95"/>
      <c r="B1" s="96" t="s">
        <v>34</v>
      </c>
      <c r="C1" s="96" t="s">
        <v>33</v>
      </c>
      <c r="D1" s="96" t="s">
        <v>96</v>
      </c>
      <c r="E1" s="96" t="s">
        <v>99</v>
      </c>
      <c r="F1" s="97" t="s">
        <v>98</v>
      </c>
    </row>
    <row r="2" spans="1:6" ht="18" customHeight="1" x14ac:dyDescent="0.25">
      <c r="A2" s="276" t="s">
        <v>42</v>
      </c>
      <c r="B2" s="89" t="s">
        <v>431</v>
      </c>
      <c r="C2" s="89" t="s">
        <v>431</v>
      </c>
      <c r="D2" s="91"/>
      <c r="E2" s="92"/>
      <c r="F2" s="99"/>
    </row>
    <row r="3" spans="1:6" ht="18" customHeight="1" x14ac:dyDescent="0.25">
      <c r="A3" s="276" t="s">
        <v>38</v>
      </c>
      <c r="B3" s="92"/>
      <c r="C3" s="89" t="s">
        <v>432</v>
      </c>
      <c r="D3" s="93" t="s">
        <v>432</v>
      </c>
      <c r="E3" s="92"/>
      <c r="F3" s="100"/>
    </row>
    <row r="4" spans="1:6" ht="18" customHeight="1" x14ac:dyDescent="0.25">
      <c r="A4" s="276" t="s">
        <v>421</v>
      </c>
      <c r="B4" s="92"/>
      <c r="C4" s="279"/>
      <c r="D4" s="94"/>
      <c r="E4" s="89" t="s">
        <v>440</v>
      </c>
      <c r="F4" s="90" t="s">
        <v>439</v>
      </c>
    </row>
    <row r="5" spans="1:6" ht="18" customHeight="1" x14ac:dyDescent="0.25">
      <c r="A5" s="276" t="s">
        <v>36</v>
      </c>
      <c r="B5" s="92"/>
      <c r="C5" s="90"/>
      <c r="D5" s="90"/>
      <c r="E5" s="90"/>
      <c r="F5" s="90" t="s">
        <v>437</v>
      </c>
    </row>
    <row r="6" spans="1:6" ht="18" customHeight="1" x14ac:dyDescent="0.25">
      <c r="A6" s="98"/>
      <c r="B6" s="186"/>
      <c r="C6" s="101"/>
      <c r="D6" s="102"/>
      <c r="E6" s="103"/>
      <c r="F6" s="103"/>
    </row>
    <row r="7" spans="1:6" ht="18" customHeight="1" thickBot="1" x14ac:dyDescent="0.3">
      <c r="A7" s="98"/>
      <c r="B7" s="274" t="s">
        <v>41</v>
      </c>
      <c r="C7" s="107" t="s">
        <v>38</v>
      </c>
      <c r="D7" s="107" t="s">
        <v>421</v>
      </c>
      <c r="E7" s="275" t="s">
        <v>36</v>
      </c>
      <c r="F7" s="275" t="s">
        <v>5</v>
      </c>
    </row>
    <row r="8" spans="1:6" ht="18" customHeight="1" thickBot="1" x14ac:dyDescent="0.3">
      <c r="A8" s="276" t="s">
        <v>35</v>
      </c>
      <c r="B8" s="277" t="s">
        <v>431</v>
      </c>
      <c r="C8" s="278" t="s">
        <v>432</v>
      </c>
      <c r="D8" s="278" t="s">
        <v>434</v>
      </c>
      <c r="E8" s="278" t="s">
        <v>438</v>
      </c>
      <c r="F8" s="282" t="s">
        <v>435</v>
      </c>
    </row>
    <row r="9" spans="1:6" ht="7.15" customHeight="1" x14ac:dyDescent="0.25">
      <c r="A9" s="98"/>
      <c r="B9" s="274"/>
      <c r="C9" s="101"/>
      <c r="D9" s="102"/>
      <c r="E9" s="103"/>
      <c r="F9" s="103"/>
    </row>
    <row r="10" spans="1:6" ht="18" customHeight="1" x14ac:dyDescent="0.25">
      <c r="A10" s="104"/>
      <c r="B10" s="186"/>
      <c r="C10" s="105" t="s">
        <v>43</v>
      </c>
      <c r="D10" s="106"/>
      <c r="E10" s="103"/>
      <c r="F10" s="103"/>
    </row>
    <row r="11" spans="1:6" ht="18" customHeight="1" x14ac:dyDescent="0.25">
      <c r="A11" s="445" t="s">
        <v>422</v>
      </c>
      <c r="B11" s="446"/>
      <c r="C11" s="89"/>
      <c r="D11" s="88" t="s">
        <v>105</v>
      </c>
      <c r="E11" s="89" t="s">
        <v>442</v>
      </c>
      <c r="F11" s="103"/>
    </row>
    <row r="12" spans="1:6" ht="24.6" customHeight="1" x14ac:dyDescent="0.25">
      <c r="A12" s="104"/>
      <c r="B12" s="186"/>
      <c r="C12" s="105" t="s">
        <v>45</v>
      </c>
      <c r="D12" s="88" t="s">
        <v>46</v>
      </c>
      <c r="E12" s="107"/>
      <c r="F12" s="103"/>
    </row>
    <row r="13" spans="1:6" ht="18" customHeight="1" x14ac:dyDescent="0.25">
      <c r="A13" s="186"/>
      <c r="B13" s="186"/>
      <c r="C13" s="89"/>
      <c r="D13" s="89"/>
      <c r="E13" s="108" t="s">
        <v>40</v>
      </c>
      <c r="F13" s="103"/>
    </row>
    <row r="14" spans="1:6" ht="18" customHeight="1" x14ac:dyDescent="0.25">
      <c r="A14" s="443" t="s">
        <v>423</v>
      </c>
      <c r="B14" s="444"/>
      <c r="C14" s="89"/>
      <c r="D14" s="89"/>
      <c r="E14" s="108" t="s">
        <v>44</v>
      </c>
      <c r="F14" s="103"/>
    </row>
    <row r="15" spans="1:6" ht="18" customHeight="1" x14ac:dyDescent="0.25">
      <c r="A15" s="109"/>
      <c r="B15" s="186"/>
      <c r="C15" s="110" t="s">
        <v>433</v>
      </c>
      <c r="D15" s="110" t="s">
        <v>433</v>
      </c>
      <c r="E15" s="108" t="s">
        <v>39</v>
      </c>
      <c r="F15" s="103"/>
    </row>
    <row r="16" spans="1:6" ht="18" customHeight="1" x14ac:dyDescent="0.25">
      <c r="A16" s="441" t="s">
        <v>69</v>
      </c>
      <c r="B16" s="442"/>
      <c r="C16" s="442"/>
      <c r="D16" s="442"/>
      <c r="E16" s="442"/>
      <c r="F16" s="442"/>
    </row>
    <row r="17" spans="1:6" ht="18" customHeight="1" x14ac:dyDescent="0.25">
      <c r="A17" s="435" t="s">
        <v>441</v>
      </c>
      <c r="B17" s="436"/>
      <c r="C17" s="436"/>
      <c r="D17" s="436"/>
      <c r="E17" s="436"/>
      <c r="F17" s="436"/>
    </row>
    <row r="18" spans="1:6" ht="18" customHeight="1" x14ac:dyDescent="0.25">
      <c r="A18" s="435"/>
      <c r="B18" s="436"/>
      <c r="C18" s="436"/>
      <c r="D18" s="436"/>
      <c r="E18" s="436"/>
      <c r="F18" s="436"/>
    </row>
    <row r="19" spans="1:6" ht="18" customHeight="1" thickBot="1" x14ac:dyDescent="0.3">
      <c r="A19" s="438"/>
      <c r="B19" s="439"/>
      <c r="C19" s="439"/>
      <c r="D19" s="439"/>
      <c r="E19" s="439"/>
      <c r="F19" s="439"/>
    </row>
    <row r="20" spans="1:6" ht="18" customHeight="1" x14ac:dyDescent="0.25"/>
    <row r="21" spans="1:6" ht="18" customHeight="1" x14ac:dyDescent="0.25"/>
    <row r="22" spans="1:6" ht="18" customHeight="1" x14ac:dyDescent="0.25"/>
    <row r="23" spans="1:6" ht="18" customHeight="1" x14ac:dyDescent="0.25"/>
    <row r="24" spans="1:6" ht="18" customHeight="1" x14ac:dyDescent="0.25"/>
  </sheetData>
  <sheetProtection password="CC15" sheet="1" objects="1" scenarios="1"/>
  <mergeCells count="4">
    <mergeCell ref="A17:F19"/>
    <mergeCell ref="A16:F16"/>
    <mergeCell ref="A14:B14"/>
    <mergeCell ref="A11:B11"/>
  </mergeCells>
  <dataValidations count="9">
    <dataValidation type="list" allowBlank="1" showInputMessage="1" showErrorMessage="1" sqref="E8" xr:uid="{00000000-0002-0000-0600-000000000000}">
      <formula1>"AO Smith,American,GE,Lochinvar,Noritz,Rheem,State,other"</formula1>
    </dataValidation>
    <dataValidation type="list" allowBlank="1" showInputMessage="1" showErrorMessage="1" sqref="C8" xr:uid="{00000000-0002-0000-0600-000001000000}">
      <formula1>"garage,interior,attic"</formula1>
    </dataValidation>
    <dataValidation type="list" allowBlank="1" showInputMessage="1" showErrorMessage="1" sqref="B8" xr:uid="{00000000-0002-0000-0600-000002000000}">
      <formula1>"electricity,natural gas,propane,solar"</formula1>
    </dataValidation>
    <dataValidation type="list" allowBlank="1" showInputMessage="1" showErrorMessage="1" sqref="B2:C2" xr:uid="{00000000-0002-0000-0600-000003000000}">
      <formula1>"electricity,natural gas,propane"</formula1>
    </dataValidation>
    <dataValidation type="list" allowBlank="1" showInputMessage="1" showErrorMessage="1" sqref="C3:D3" xr:uid="{00000000-0002-0000-0600-000004000000}">
      <formula1>"garage,interior"</formula1>
    </dataValidation>
    <dataValidation type="list" allowBlank="1" showInputMessage="1" showErrorMessage="1" sqref="E11" xr:uid="{00000000-0002-0000-0600-000005000000}">
      <formula1>"yes,no"</formula1>
    </dataValidation>
    <dataValidation type="list" allowBlank="1" showInputMessage="1" showErrorMessage="1" sqref="F8" xr:uid="{00000000-0002-0000-0600-000006000000}">
      <formula1>"storage,tankless,heat pump"</formula1>
    </dataValidation>
    <dataValidation type="list" allowBlank="1" showInputMessage="1" showErrorMessage="1" sqref="E5:F5" xr:uid="{00000000-0002-0000-0600-000007000000}">
      <formula1>"Frigidaire,GE,Kenmore,Kitchenaide,LG,Miele,Subzero,Whirlpool,other"</formula1>
    </dataValidation>
    <dataValidation type="list" allowBlank="1" showInputMessage="1" showErrorMessage="1" sqref="C5:D5" xr:uid="{00000000-0002-0000-0600-000008000000}">
      <formula1>"GE,Kenmore,LG,Maytag,Miele,Whirlpool,other"</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D19"/>
  <sheetViews>
    <sheetView showGridLines="0" showRowColHeaders="0" zoomScale="140" zoomScaleNormal="140" workbookViewId="0">
      <selection activeCell="D3" sqref="D3"/>
    </sheetView>
  </sheetViews>
  <sheetFormatPr defaultRowHeight="15" x14ac:dyDescent="0.25"/>
  <cols>
    <col min="1" max="1" width="14.7109375" customWidth="1"/>
    <col min="2" max="2" width="11.42578125" customWidth="1"/>
    <col min="3" max="3" width="14.140625" customWidth="1"/>
    <col min="4" max="4" width="13.28515625" customWidth="1"/>
  </cols>
  <sheetData>
    <row r="1" spans="1:4" ht="18" customHeight="1" x14ac:dyDescent="0.25">
      <c r="A1" s="79" t="s">
        <v>1</v>
      </c>
      <c r="B1" s="47" t="s">
        <v>443</v>
      </c>
      <c r="C1" s="80" t="s">
        <v>5</v>
      </c>
      <c r="D1" s="47" t="s">
        <v>436</v>
      </c>
    </row>
    <row r="2" spans="1:4" ht="18" customHeight="1" x14ac:dyDescent="0.25">
      <c r="A2" s="81" t="s">
        <v>114</v>
      </c>
      <c r="B2" s="47">
        <v>16</v>
      </c>
      <c r="C2" s="57" t="s">
        <v>2</v>
      </c>
      <c r="D2" s="47">
        <v>1</v>
      </c>
    </row>
    <row r="3" spans="1:4" ht="18" customHeight="1" x14ac:dyDescent="0.25">
      <c r="A3" s="81" t="s">
        <v>115</v>
      </c>
      <c r="B3" s="47">
        <v>1670</v>
      </c>
      <c r="C3" s="57" t="s">
        <v>3</v>
      </c>
      <c r="D3" s="47">
        <v>3</v>
      </c>
    </row>
    <row r="4" spans="1:4" ht="18" customHeight="1" x14ac:dyDescent="0.25">
      <c r="A4" s="81" t="s">
        <v>116</v>
      </c>
      <c r="B4" s="47"/>
      <c r="C4" s="57" t="s">
        <v>4</v>
      </c>
      <c r="D4" s="47">
        <v>2</v>
      </c>
    </row>
    <row r="5" spans="1:4" ht="18" customHeight="1" x14ac:dyDescent="0.25">
      <c r="A5" s="57" t="s">
        <v>379</v>
      </c>
      <c r="B5" s="47"/>
      <c r="C5" s="183"/>
      <c r="D5" s="184"/>
    </row>
    <row r="6" spans="1:4" ht="18" customHeight="1" x14ac:dyDescent="0.25">
      <c r="A6" s="183"/>
      <c r="B6" s="182"/>
      <c r="C6" s="183"/>
      <c r="D6" s="184"/>
    </row>
    <row r="7" spans="1:4" ht="18" customHeight="1" x14ac:dyDescent="0.25">
      <c r="A7" s="82"/>
      <c r="B7" s="83" t="s">
        <v>5</v>
      </c>
      <c r="C7" s="83" t="s">
        <v>54</v>
      </c>
      <c r="D7" s="84" t="s">
        <v>67</v>
      </c>
    </row>
    <row r="8" spans="1:4" ht="18" customHeight="1" x14ac:dyDescent="0.25">
      <c r="A8" s="82" t="s">
        <v>26</v>
      </c>
      <c r="B8" s="47"/>
      <c r="C8" s="47"/>
      <c r="D8" s="85"/>
    </row>
    <row r="9" spans="1:4" ht="18" customHeight="1" x14ac:dyDescent="0.25">
      <c r="A9" s="82" t="s">
        <v>49</v>
      </c>
      <c r="B9" s="47"/>
      <c r="C9" s="47"/>
      <c r="D9" s="85"/>
    </row>
    <row r="10" spans="1:4" ht="18" customHeight="1" x14ac:dyDescent="0.25">
      <c r="A10" s="82" t="s">
        <v>50</v>
      </c>
      <c r="B10" s="47"/>
      <c r="C10" s="47"/>
      <c r="D10" s="85"/>
    </row>
    <row r="11" spans="1:4" ht="18" customHeight="1" x14ac:dyDescent="0.25">
      <c r="A11" s="82" t="s">
        <v>51</v>
      </c>
      <c r="B11" s="47"/>
      <c r="C11" s="47"/>
      <c r="D11" s="85"/>
    </row>
    <row r="12" spans="1:4" ht="18" customHeight="1" x14ac:dyDescent="0.25">
      <c r="A12" s="82" t="s">
        <v>66</v>
      </c>
      <c r="B12" s="47"/>
      <c r="C12" s="47"/>
      <c r="D12" s="85"/>
    </row>
    <row r="13" spans="1:4" ht="18" customHeight="1" x14ac:dyDescent="0.25">
      <c r="A13" s="82"/>
      <c r="B13" s="83" t="s">
        <v>53</v>
      </c>
      <c r="C13" s="83" t="s">
        <v>52</v>
      </c>
      <c r="D13" s="86"/>
    </row>
    <row r="14" spans="1:4" ht="18" customHeight="1" x14ac:dyDescent="0.25">
      <c r="A14" s="82" t="s">
        <v>48</v>
      </c>
      <c r="B14" s="48"/>
      <c r="C14" s="48"/>
      <c r="D14" s="86"/>
    </row>
    <row r="15" spans="1:4" ht="18" customHeight="1" x14ac:dyDescent="0.3">
      <c r="A15" s="82" t="s">
        <v>73</v>
      </c>
      <c r="B15" s="48"/>
      <c r="C15" s="48"/>
      <c r="D15" s="86"/>
    </row>
    <row r="16" spans="1:4" ht="18" customHeight="1" x14ac:dyDescent="0.3">
      <c r="A16" s="82" t="s">
        <v>72</v>
      </c>
      <c r="B16" s="49"/>
      <c r="C16" s="49"/>
      <c r="D16" s="86"/>
    </row>
    <row r="17" spans="1:4" ht="18" customHeight="1" x14ac:dyDescent="0.25">
      <c r="A17" s="447" t="s">
        <v>124</v>
      </c>
      <c r="B17" s="448"/>
      <c r="C17" s="448"/>
      <c r="D17" s="449"/>
    </row>
    <row r="18" spans="1:4" ht="18" customHeight="1" x14ac:dyDescent="0.25">
      <c r="A18" s="450"/>
      <c r="B18" s="451"/>
      <c r="C18" s="451"/>
      <c r="D18" s="452"/>
    </row>
    <row r="19" spans="1:4" ht="18" customHeight="1" thickBot="1" x14ac:dyDescent="0.3">
      <c r="A19" s="453"/>
      <c r="B19" s="454"/>
      <c r="C19" s="454"/>
      <c r="D19" s="455"/>
    </row>
  </sheetData>
  <sheetProtection password="CC15" sheet="1" objects="1" scenarios="1"/>
  <mergeCells count="2">
    <mergeCell ref="A17:D17"/>
    <mergeCell ref="A18:D19"/>
  </mergeCells>
  <dataValidations count="9">
    <dataValidation type="list" allowBlank="1" showInputMessage="1" showErrorMessage="1" sqref="B10:B12" xr:uid="{00000000-0002-0000-0700-000000000000}">
      <formula1>"block,wood frame,metal frame,concrete, ICF,SIP"</formula1>
    </dataValidation>
    <dataValidation type="list" allowBlank="1" showInputMessage="1" showErrorMessage="1" sqref="C9:C12" xr:uid="{00000000-0002-0000-0700-000001000000}">
      <formula1>"batt,rigid board,foil,foam"</formula1>
    </dataValidation>
    <dataValidation type="list" allowBlank="1" showInputMessage="1" showErrorMessage="1" sqref="D9:D12" xr:uid="{00000000-0002-0000-0700-000002000000}">
      <formula1>"3,4,5,7,11,13,19,other(notes)"</formula1>
    </dataValidation>
    <dataValidation type="list" allowBlank="1" showInputMessage="1" showErrorMessage="1" sqref="B9" xr:uid="{00000000-0002-0000-0700-000003000000}">
      <formula1>"block,wood frame,metal frame,concrete, ICF,SIP,other (notes)"</formula1>
    </dataValidation>
    <dataValidation type="list" allowBlank="1" showInputMessage="1" showErrorMessage="1" sqref="B8" xr:uid="{00000000-0002-0000-0700-000004000000}">
      <formula1>"vented,sealed"</formula1>
    </dataValidation>
    <dataValidation type="list" allowBlank="1" showInputMessage="1" showErrorMessage="1" sqref="C8" xr:uid="{00000000-0002-0000-0700-000005000000}">
      <formula1>"batt,blown,foam"</formula1>
    </dataValidation>
    <dataValidation type="list" allowBlank="1" showInputMessage="1" showErrorMessage="1" sqref="D8" xr:uid="{00000000-0002-0000-0700-000006000000}">
      <formula1>"19,30,38,other(notes)"</formula1>
    </dataValidation>
    <dataValidation type="list" allowBlank="1" showInputMessage="1" showErrorMessage="1" sqref="B1" xr:uid="{00000000-0002-0000-0700-000007000000}">
      <formula1>"N,NE,E,SE,S,SW,W,NW"</formula1>
    </dataValidation>
    <dataValidation type="list" allowBlank="1" showInputMessage="1" showErrorMessage="1" sqref="D1" xr:uid="{00000000-0002-0000-0700-000008000000}">
      <formula1>"Single/detach, Multifamily"</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M26"/>
  <sheetViews>
    <sheetView showGridLines="0" showRowColHeaders="0" tabSelected="1" zoomScale="130" zoomScaleNormal="130" workbookViewId="0">
      <selection activeCell="G3" sqref="G3"/>
    </sheetView>
  </sheetViews>
  <sheetFormatPr defaultColWidth="8.85546875" defaultRowHeight="15" x14ac:dyDescent="0.25"/>
  <cols>
    <col min="1" max="1" width="10.5703125" style="2" customWidth="1"/>
    <col min="2" max="3" width="9.28515625" style="2" customWidth="1"/>
    <col min="4" max="5" width="8" style="2" customWidth="1"/>
    <col min="6" max="6" width="8.28515625" style="2" customWidth="1"/>
    <col min="7" max="7" width="8" style="2" customWidth="1"/>
    <col min="8" max="16384" width="8.85546875" style="2"/>
  </cols>
  <sheetData>
    <row r="1" spans="1:13" x14ac:dyDescent="0.25">
      <c r="A1" s="221">
        <f>regression!F14</f>
        <v>6.208231072107222</v>
      </c>
      <c r="B1" s="253" t="s">
        <v>125</v>
      </c>
      <c r="C1" s="458" t="s">
        <v>397</v>
      </c>
      <c r="D1" s="458"/>
      <c r="E1" s="458"/>
      <c r="F1" s="458"/>
      <c r="G1" s="459"/>
      <c r="H1" s="3"/>
    </row>
    <row r="2" spans="1:13" ht="18" customHeight="1" thickBot="1" x14ac:dyDescent="0.3">
      <c r="A2" s="222">
        <f>regression!C12</f>
        <v>129.54560894522456</v>
      </c>
      <c r="B2" s="101" t="s">
        <v>398</v>
      </c>
      <c r="C2" s="232">
        <v>1</v>
      </c>
      <c r="D2" s="232">
        <v>2</v>
      </c>
      <c r="E2" s="232">
        <v>3</v>
      </c>
      <c r="F2" s="232">
        <v>4</v>
      </c>
      <c r="G2" s="254">
        <v>5</v>
      </c>
      <c r="H2" s="3"/>
    </row>
    <row r="3" spans="1:13" ht="18" customHeight="1" x14ac:dyDescent="0.25">
      <c r="A3" s="223">
        <f>regression!C16</f>
        <v>0.78237424812560152</v>
      </c>
      <c r="B3" s="231" t="s">
        <v>399</v>
      </c>
      <c r="C3" s="227">
        <v>20</v>
      </c>
      <c r="D3" s="226">
        <v>30</v>
      </c>
      <c r="E3" s="226">
        <v>40</v>
      </c>
      <c r="F3" s="226">
        <v>50</v>
      </c>
      <c r="G3" s="225">
        <v>60</v>
      </c>
    </row>
    <row r="4" spans="1:13" ht="18" customHeight="1" thickBot="1" x14ac:dyDescent="0.3">
      <c r="A4" s="224">
        <f>regression!C14</f>
        <v>0.99308128562387332</v>
      </c>
      <c r="B4" s="231" t="s">
        <v>400</v>
      </c>
      <c r="C4" s="230">
        <v>1400</v>
      </c>
      <c r="D4" s="229">
        <v>1800</v>
      </c>
      <c r="E4" s="229">
        <v>2200</v>
      </c>
      <c r="F4" s="229">
        <v>2800</v>
      </c>
      <c r="G4" s="228">
        <v>3300</v>
      </c>
    </row>
    <row r="5" spans="1:13" s="3" customFormat="1" ht="9" customHeight="1" x14ac:dyDescent="0.25">
      <c r="A5" s="255"/>
      <c r="B5" s="194"/>
      <c r="C5" s="191"/>
      <c r="D5" s="191"/>
      <c r="E5" s="191"/>
      <c r="F5" s="220"/>
      <c r="G5" s="6"/>
      <c r="M5" s="2"/>
    </row>
    <row r="6" spans="1:13" s="3" customFormat="1" ht="14.45" customHeight="1" thickBot="1" x14ac:dyDescent="0.3">
      <c r="A6" s="219"/>
      <c r="B6" s="456" t="s">
        <v>386</v>
      </c>
      <c r="C6" s="456"/>
      <c r="D6" s="456"/>
      <c r="E6" s="456"/>
      <c r="F6" s="456"/>
      <c r="G6" s="457"/>
      <c r="M6" s="2"/>
    </row>
    <row r="7" spans="1:13" s="3" customFormat="1" ht="14.45" customHeight="1" thickBot="1" x14ac:dyDescent="0.3">
      <c r="A7" s="4"/>
      <c r="B7" s="469" t="s">
        <v>19</v>
      </c>
      <c r="C7" s="470"/>
      <c r="D7" s="471"/>
      <c r="E7" s="472" t="s">
        <v>20</v>
      </c>
      <c r="F7" s="473"/>
      <c r="G7" s="474"/>
      <c r="I7" s="10"/>
      <c r="M7" s="2"/>
    </row>
    <row r="8" spans="1:13" s="3" customFormat="1" ht="18" customHeight="1" x14ac:dyDescent="0.25">
      <c r="A8" s="255"/>
      <c r="B8" s="197" t="s">
        <v>7</v>
      </c>
      <c r="C8" s="198" t="s">
        <v>8</v>
      </c>
      <c r="D8" s="199" t="s">
        <v>383</v>
      </c>
      <c r="E8" s="197" t="s">
        <v>7</v>
      </c>
      <c r="F8" s="198" t="s">
        <v>8</v>
      </c>
      <c r="G8" s="199" t="s">
        <v>384</v>
      </c>
      <c r="I8" s="10"/>
    </row>
    <row r="9" spans="1:13" s="3" customFormat="1" ht="18" customHeight="1" x14ac:dyDescent="0.25">
      <c r="A9" s="256" t="s">
        <v>401</v>
      </c>
      <c r="B9" s="200"/>
      <c r="C9" s="185"/>
      <c r="D9" s="201" t="str">
        <f>IF(B9="","",AVERAGE(B9:C9)/HVAC!B4)</f>
        <v/>
      </c>
      <c r="E9" s="269"/>
      <c r="F9" s="270"/>
      <c r="G9" s="201" t="str">
        <f>IF(E9="","",AVERAGE(E9:F9)/HVAC!B4)</f>
        <v/>
      </c>
    </row>
    <row r="10" spans="1:13" s="3" customFormat="1" ht="18" customHeight="1" x14ac:dyDescent="0.25">
      <c r="A10" s="256" t="s">
        <v>402</v>
      </c>
      <c r="B10" s="200"/>
      <c r="C10" s="270"/>
      <c r="D10" s="201" t="str">
        <f>IF(B10="","",AVERAGE(B10:C10)/HVAC!C4)</f>
        <v/>
      </c>
      <c r="E10" s="269"/>
      <c r="F10" s="270"/>
      <c r="G10" s="201" t="str">
        <f>IF(E10="","",AVERAGE(E10:F10)/HVAC!C4)</f>
        <v/>
      </c>
    </row>
    <row r="11" spans="1:13" s="3" customFormat="1" ht="18" customHeight="1" thickBot="1" x14ac:dyDescent="0.3">
      <c r="A11" s="256" t="s">
        <v>403</v>
      </c>
      <c r="B11" s="202"/>
      <c r="C11" s="203"/>
      <c r="D11" s="204" t="str">
        <f>IF(B11="","",AVERAGE(B11:C11)/HVAC!D4)</f>
        <v/>
      </c>
      <c r="E11" s="271"/>
      <c r="F11" s="272"/>
      <c r="G11" s="204" t="str">
        <f>IF(E11="","",AVERAGE(E11:F11)/HVAC!D4)</f>
        <v/>
      </c>
    </row>
    <row r="12" spans="1:13" s="3" customFormat="1" ht="7.15" customHeight="1" x14ac:dyDescent="0.25">
      <c r="A12" s="256"/>
      <c r="B12" s="196"/>
      <c r="C12" s="195"/>
      <c r="D12" s="193"/>
      <c r="E12" s="195"/>
      <c r="F12" s="195"/>
      <c r="G12" s="257"/>
    </row>
    <row r="13" spans="1:13" s="3" customFormat="1" ht="15.6" customHeight="1" x14ac:dyDescent="0.25">
      <c r="A13" s="7"/>
      <c r="B13" s="5"/>
      <c r="C13" s="238" t="s">
        <v>406</v>
      </c>
      <c r="D13" s="8"/>
      <c r="E13" s="194"/>
      <c r="F13" s="475" t="s">
        <v>17</v>
      </c>
      <c r="G13" s="476"/>
    </row>
    <row r="14" spans="1:13" ht="15" customHeight="1" thickBot="1" x14ac:dyDescent="0.3">
      <c r="A14" s="4"/>
      <c r="B14" s="192" t="s">
        <v>416</v>
      </c>
      <c r="C14" s="192" t="s">
        <v>417</v>
      </c>
      <c r="D14" s="192" t="s">
        <v>418</v>
      </c>
      <c r="E14" s="194"/>
      <c r="F14" s="107" t="s">
        <v>414</v>
      </c>
      <c r="G14" s="258" t="s">
        <v>415</v>
      </c>
    </row>
    <row r="15" spans="1:13" ht="18" customHeight="1" thickBot="1" x14ac:dyDescent="0.3">
      <c r="A15" s="259" t="s">
        <v>7</v>
      </c>
      <c r="B15" s="233"/>
      <c r="C15" s="234"/>
      <c r="D15" s="226"/>
      <c r="E15" s="194"/>
      <c r="F15" s="241"/>
      <c r="G15" s="243"/>
    </row>
    <row r="16" spans="1:13" ht="18" customHeight="1" thickBot="1" x14ac:dyDescent="0.3">
      <c r="A16" s="259" t="s">
        <v>8</v>
      </c>
      <c r="B16" s="200"/>
      <c r="C16" s="235"/>
      <c r="D16" s="229"/>
      <c r="E16" s="194"/>
      <c r="F16" s="477">
        <f>IF(ISBLANK(Envelope!B3),"",((Envelope!B3+Envelope!B4)*0.01)+((Envelope!D3+1)*7.5))</f>
        <v>46.7</v>
      </c>
      <c r="G16" s="478"/>
    </row>
    <row r="17" spans="1:8" ht="18" customHeight="1" thickBot="1" x14ac:dyDescent="0.3">
      <c r="A17" s="259" t="s">
        <v>15</v>
      </c>
      <c r="B17" s="236" t="str">
        <f>IF(AND(B15&gt;0,B16&gt;0),B15+B16," ")</f>
        <v xml:space="preserve"> </v>
      </c>
      <c r="C17" s="237" t="str">
        <f>IF(AND(C15&gt;0,C16&gt;0),C15+C16," ")</f>
        <v xml:space="preserve"> </v>
      </c>
      <c r="D17" s="237" t="str">
        <f>IF(AND(D15&gt;0,D16&gt;0),D15+D16," ")</f>
        <v xml:space="preserve"> </v>
      </c>
      <c r="E17" s="194"/>
      <c r="F17" s="245"/>
      <c r="G17" s="260"/>
    </row>
    <row r="18" spans="1:8" ht="7.15" customHeight="1" x14ac:dyDescent="0.25">
      <c r="A18" s="4"/>
      <c r="B18" s="194"/>
      <c r="C18" s="8"/>
      <c r="D18" s="9"/>
      <c r="E18" s="194"/>
      <c r="F18" s="244"/>
      <c r="G18" s="260"/>
    </row>
    <row r="19" spans="1:8" ht="18" customHeight="1" thickBot="1" x14ac:dyDescent="0.3">
      <c r="A19" s="4"/>
      <c r="B19" s="261" t="s">
        <v>14</v>
      </c>
      <c r="C19" s="239" t="s">
        <v>407</v>
      </c>
      <c r="D19" s="240" t="s">
        <v>408</v>
      </c>
      <c r="E19" s="239" t="s">
        <v>409</v>
      </c>
      <c r="F19" s="240" t="s">
        <v>410</v>
      </c>
      <c r="G19" s="260"/>
      <c r="H19" s="3"/>
    </row>
    <row r="20" spans="1:8" ht="18" customHeight="1" thickBot="1" x14ac:dyDescent="0.3">
      <c r="A20" s="262" t="s">
        <v>419</v>
      </c>
      <c r="B20" s="241" t="s">
        <v>444</v>
      </c>
      <c r="C20" s="242" t="s">
        <v>444</v>
      </c>
      <c r="D20" s="242" t="s">
        <v>444</v>
      </c>
      <c r="E20" s="242"/>
      <c r="F20" s="243"/>
      <c r="G20" s="6"/>
      <c r="H20" s="3"/>
    </row>
    <row r="21" spans="1:8" ht="18" customHeight="1" thickBot="1" x14ac:dyDescent="0.3">
      <c r="A21" s="259"/>
      <c r="B21" s="107" t="s">
        <v>404</v>
      </c>
      <c r="C21" s="107" t="s">
        <v>405</v>
      </c>
      <c r="D21" s="107" t="s">
        <v>411</v>
      </c>
      <c r="E21" s="107" t="s">
        <v>412</v>
      </c>
      <c r="F21" s="107" t="s">
        <v>413</v>
      </c>
      <c r="G21" s="6"/>
      <c r="H21" s="3"/>
    </row>
    <row r="22" spans="1:8" ht="18" customHeight="1" thickBot="1" x14ac:dyDescent="0.3">
      <c r="A22" s="262" t="s">
        <v>420</v>
      </c>
      <c r="B22" s="273"/>
      <c r="C22" s="242"/>
      <c r="D22" s="242"/>
      <c r="E22" s="242"/>
      <c r="F22" s="243"/>
      <c r="G22" s="263"/>
      <c r="H22" s="3"/>
    </row>
    <row r="23" spans="1:8" ht="4.1500000000000004" customHeight="1" thickBot="1" x14ac:dyDescent="0.3">
      <c r="A23" s="264"/>
      <c r="B23" s="265"/>
      <c r="C23" s="190"/>
      <c r="D23" s="266"/>
      <c r="E23" s="266"/>
      <c r="F23" s="267"/>
      <c r="G23" s="268"/>
      <c r="H23" s="3"/>
    </row>
    <row r="24" spans="1:8" ht="15.75" thickBot="1" x14ac:dyDescent="0.3">
      <c r="A24" s="466" t="s">
        <v>18</v>
      </c>
      <c r="B24" s="467"/>
      <c r="C24" s="467"/>
      <c r="D24" s="467"/>
      <c r="E24" s="467"/>
      <c r="F24" s="467"/>
      <c r="G24" s="468"/>
    </row>
    <row r="25" spans="1:8" x14ac:dyDescent="0.25">
      <c r="A25" s="460"/>
      <c r="B25" s="461"/>
      <c r="C25" s="461"/>
      <c r="D25" s="461"/>
      <c r="E25" s="461"/>
      <c r="F25" s="461"/>
      <c r="G25" s="462"/>
    </row>
    <row r="26" spans="1:8" ht="15.75" thickBot="1" x14ac:dyDescent="0.3">
      <c r="A26" s="463"/>
      <c r="B26" s="464"/>
      <c r="C26" s="464"/>
      <c r="D26" s="464"/>
      <c r="E26" s="464"/>
      <c r="F26" s="464"/>
      <c r="G26" s="465"/>
    </row>
  </sheetData>
  <sheetProtection password="CC15" sheet="1" objects="1" scenarios="1"/>
  <mergeCells count="8">
    <mergeCell ref="B6:G6"/>
    <mergeCell ref="C1:G1"/>
    <mergeCell ref="A25:G26"/>
    <mergeCell ref="A24:G24"/>
    <mergeCell ref="B7:D7"/>
    <mergeCell ref="E7:G7"/>
    <mergeCell ref="F13:G13"/>
    <mergeCell ref="F16:G16"/>
  </mergeCells>
  <conditionalFormatting sqref="B23 C20:F20">
    <cfRule type="cellIs" dxfId="7" priority="24" operator="between">
      <formula>0.01</formula>
      <formula>49</formula>
    </cfRule>
  </conditionalFormatting>
  <conditionalFormatting sqref="B22:F22">
    <cfRule type="cellIs" dxfId="6" priority="23" operator="greaterThan">
      <formula>3</formula>
    </cfRule>
  </conditionalFormatting>
  <conditionalFormatting sqref="D9">
    <cfRule type="cellIs" dxfId="5" priority="20" operator="greaterThan">
      <formula>0.080001</formula>
    </cfRule>
  </conditionalFormatting>
  <conditionalFormatting sqref="A3">
    <cfRule type="cellIs" dxfId="4" priority="28" operator="notBetween">
      <formula>0.501</formula>
      <formula>1.01</formula>
    </cfRule>
  </conditionalFormatting>
  <conditionalFormatting sqref="A4">
    <cfRule type="cellIs" dxfId="3" priority="29" operator="notBetween">
      <formula>0.981</formula>
      <formula>1.01</formula>
    </cfRule>
  </conditionalFormatting>
  <conditionalFormatting sqref="B20">
    <cfRule type="cellIs" dxfId="2" priority="11" operator="lessThan">
      <formula>100</formula>
    </cfRule>
  </conditionalFormatting>
  <conditionalFormatting sqref="D10:D12">
    <cfRule type="cellIs" dxfId="1" priority="5" operator="greaterThan">
      <formula>0.080001</formula>
    </cfRule>
  </conditionalFormatting>
  <conditionalFormatting sqref="G9:G12">
    <cfRule type="cellIs" dxfId="0" priority="3" operator="greaterThan">
      <formula>0.040001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E60"/>
  <sheetViews>
    <sheetView showGridLines="0" showRowColHeaders="0" workbookViewId="0">
      <pane ySplit="1" topLeftCell="A14" activePane="bottomLeft" state="frozen"/>
      <selection pane="bottomLeft" activeCell="G34" sqref="G34"/>
    </sheetView>
  </sheetViews>
  <sheetFormatPr defaultRowHeight="15" x14ac:dyDescent="0.25"/>
  <cols>
    <col min="1" max="1" width="68.42578125" customWidth="1"/>
  </cols>
  <sheetData>
    <row r="1" spans="1:5" ht="22.5" x14ac:dyDescent="0.25">
      <c r="A1" s="123"/>
      <c r="B1" s="154" t="s">
        <v>132</v>
      </c>
      <c r="C1" s="155" t="s">
        <v>243</v>
      </c>
      <c r="D1" s="154" t="s">
        <v>133</v>
      </c>
      <c r="E1" s="154" t="s">
        <v>134</v>
      </c>
    </row>
    <row r="2" spans="1:5" x14ac:dyDescent="0.25">
      <c r="A2" s="482" t="s">
        <v>310</v>
      </c>
      <c r="B2" s="483"/>
      <c r="C2" s="483"/>
      <c r="D2" s="483"/>
      <c r="E2" s="484"/>
    </row>
    <row r="3" spans="1:5" ht="15.75" x14ac:dyDescent="0.25">
      <c r="A3" s="156" t="s">
        <v>311</v>
      </c>
      <c r="B3" s="158"/>
      <c r="C3" s="158"/>
      <c r="D3" s="158"/>
      <c r="E3" s="158"/>
    </row>
    <row r="4" spans="1:5" ht="15.75" x14ac:dyDescent="0.25">
      <c r="A4" s="159" t="s">
        <v>312</v>
      </c>
      <c r="B4" s="127"/>
      <c r="C4" s="127"/>
      <c r="D4" s="127"/>
      <c r="E4" s="127"/>
    </row>
    <row r="5" spans="1:5" x14ac:dyDescent="0.25">
      <c r="A5" s="485" t="s">
        <v>313</v>
      </c>
      <c r="B5" s="486"/>
      <c r="C5" s="486"/>
      <c r="D5" s="486"/>
      <c r="E5" s="487"/>
    </row>
    <row r="6" spans="1:5" x14ac:dyDescent="0.25">
      <c r="A6" s="488" t="s">
        <v>314</v>
      </c>
      <c r="B6" s="489"/>
      <c r="C6" s="489"/>
      <c r="D6" s="489"/>
      <c r="E6" s="490"/>
    </row>
    <row r="7" spans="1:5" ht="15.75" x14ac:dyDescent="0.25">
      <c r="A7" s="157" t="s">
        <v>315</v>
      </c>
      <c r="B7" s="127"/>
      <c r="C7" s="127"/>
      <c r="D7" s="127"/>
      <c r="E7" s="127"/>
    </row>
    <row r="8" spans="1:5" ht="24" x14ac:dyDescent="0.25">
      <c r="A8" s="136" t="s">
        <v>365</v>
      </c>
      <c r="B8" s="127"/>
      <c r="C8" s="127"/>
      <c r="D8" s="127"/>
      <c r="E8" s="127"/>
    </row>
    <row r="9" spans="1:5" ht="24" x14ac:dyDescent="0.25">
      <c r="A9" s="136" t="s">
        <v>368</v>
      </c>
      <c r="B9" s="127"/>
      <c r="C9" s="127"/>
      <c r="D9" s="127"/>
      <c r="E9" s="127"/>
    </row>
    <row r="10" spans="1:5" x14ac:dyDescent="0.25">
      <c r="A10" s="491" t="s">
        <v>316</v>
      </c>
      <c r="B10" s="492"/>
      <c r="C10" s="492"/>
      <c r="D10" s="492"/>
      <c r="E10" s="493"/>
    </row>
    <row r="11" spans="1:5" ht="15.75" x14ac:dyDescent="0.25">
      <c r="A11" s="136" t="s">
        <v>317</v>
      </c>
      <c r="B11" s="127"/>
      <c r="C11" s="127"/>
      <c r="D11" s="127"/>
      <c r="E11" s="127"/>
    </row>
    <row r="12" spans="1:5" ht="15.75" x14ac:dyDescent="0.25">
      <c r="A12" s="136" t="s">
        <v>318</v>
      </c>
      <c r="B12" s="127"/>
      <c r="C12" s="127"/>
      <c r="D12" s="127"/>
      <c r="E12" s="127"/>
    </row>
    <row r="13" spans="1:5" ht="15.75" x14ac:dyDescent="0.25">
      <c r="A13" s="157" t="s">
        <v>319</v>
      </c>
      <c r="B13" s="127"/>
      <c r="C13" s="127"/>
      <c r="D13" s="127"/>
      <c r="E13" s="127"/>
    </row>
    <row r="14" spans="1:5" ht="15.75" x14ac:dyDescent="0.25">
      <c r="A14" s="136" t="s">
        <v>320</v>
      </c>
      <c r="B14" s="127"/>
      <c r="C14" s="127"/>
      <c r="D14" s="127"/>
      <c r="E14" s="127"/>
    </row>
    <row r="15" spans="1:5" ht="15.75" x14ac:dyDescent="0.25">
      <c r="A15" s="136" t="s">
        <v>321</v>
      </c>
      <c r="B15" s="127"/>
      <c r="C15" s="127"/>
      <c r="D15" s="127"/>
      <c r="E15" s="127"/>
    </row>
    <row r="16" spans="1:5" ht="15.75" x14ac:dyDescent="0.25">
      <c r="A16" s="136" t="s">
        <v>322</v>
      </c>
      <c r="B16" s="127"/>
      <c r="C16" s="127"/>
      <c r="D16" s="127"/>
      <c r="E16" s="127"/>
    </row>
    <row r="17" spans="1:5" ht="15.75" x14ac:dyDescent="0.25">
      <c r="A17" s="136" t="s">
        <v>323</v>
      </c>
      <c r="B17" s="127"/>
      <c r="C17" s="127"/>
      <c r="D17" s="127"/>
      <c r="E17" s="127"/>
    </row>
    <row r="18" spans="1:5" ht="15.75" x14ac:dyDescent="0.25">
      <c r="A18" s="136" t="s">
        <v>324</v>
      </c>
      <c r="B18" s="127"/>
      <c r="C18" s="127"/>
      <c r="D18" s="127"/>
      <c r="E18" s="127"/>
    </row>
    <row r="19" spans="1:5" ht="15.75" x14ac:dyDescent="0.25">
      <c r="A19" s="136" t="s">
        <v>325</v>
      </c>
      <c r="B19" s="127"/>
      <c r="C19" s="127"/>
      <c r="D19" s="127"/>
      <c r="E19" s="127"/>
    </row>
    <row r="20" spans="1:5" x14ac:dyDescent="0.25">
      <c r="A20" s="479" t="s">
        <v>326</v>
      </c>
      <c r="B20" s="480"/>
      <c r="C20" s="480"/>
      <c r="D20" s="480"/>
      <c r="E20" s="481"/>
    </row>
    <row r="21" spans="1:5" ht="15.75" x14ac:dyDescent="0.25">
      <c r="A21" s="136" t="s">
        <v>327</v>
      </c>
      <c r="B21" s="127"/>
      <c r="C21" s="127"/>
      <c r="D21" s="127"/>
      <c r="E21" s="127"/>
    </row>
    <row r="22" spans="1:5" ht="15.75" x14ac:dyDescent="0.25">
      <c r="A22" s="136" t="s">
        <v>328</v>
      </c>
      <c r="B22" s="127"/>
      <c r="C22" s="127"/>
      <c r="D22" s="127"/>
      <c r="E22" s="127"/>
    </row>
    <row r="23" spans="1:5" ht="15.75" x14ac:dyDescent="0.25">
      <c r="A23" s="136" t="s">
        <v>329</v>
      </c>
      <c r="B23" s="127"/>
      <c r="C23" s="127"/>
      <c r="D23" s="127"/>
      <c r="E23" s="127"/>
    </row>
    <row r="24" spans="1:5" x14ac:dyDescent="0.25">
      <c r="A24" s="491" t="s">
        <v>330</v>
      </c>
      <c r="B24" s="492"/>
      <c r="C24" s="492"/>
      <c r="D24" s="492"/>
      <c r="E24" s="493"/>
    </row>
    <row r="25" spans="1:5" ht="15.75" x14ac:dyDescent="0.25">
      <c r="A25" s="136" t="s">
        <v>331</v>
      </c>
      <c r="B25" s="127"/>
      <c r="C25" s="127"/>
      <c r="D25" s="127"/>
      <c r="E25" s="127"/>
    </row>
    <row r="26" spans="1:5" ht="15.75" x14ac:dyDescent="0.25">
      <c r="A26" s="136" t="s">
        <v>332</v>
      </c>
      <c r="B26" s="127"/>
      <c r="C26" s="127"/>
      <c r="D26" s="127"/>
      <c r="E26" s="127"/>
    </row>
    <row r="27" spans="1:5" x14ac:dyDescent="0.25">
      <c r="A27" s="494" t="s">
        <v>333</v>
      </c>
      <c r="B27" s="495"/>
      <c r="C27" s="495"/>
      <c r="D27" s="495"/>
      <c r="E27" s="496"/>
    </row>
    <row r="28" spans="1:5" ht="15.75" x14ac:dyDescent="0.25">
      <c r="A28" s="160" t="s">
        <v>334</v>
      </c>
      <c r="B28" s="158"/>
      <c r="C28" s="158"/>
      <c r="D28" s="158"/>
      <c r="E28" s="158"/>
    </row>
    <row r="29" spans="1:5" ht="24" x14ac:dyDescent="0.25">
      <c r="A29" s="157" t="s">
        <v>367</v>
      </c>
      <c r="B29" s="127"/>
      <c r="C29" s="127"/>
      <c r="D29" s="127"/>
      <c r="E29" s="127"/>
    </row>
    <row r="30" spans="1:5" ht="24" x14ac:dyDescent="0.25">
      <c r="A30" s="136" t="s">
        <v>335</v>
      </c>
      <c r="B30" s="127"/>
      <c r="C30" s="127"/>
      <c r="D30" s="127"/>
      <c r="E30" s="127"/>
    </row>
    <row r="31" spans="1:5" x14ac:dyDescent="0.25">
      <c r="A31" s="497" t="s">
        <v>336</v>
      </c>
      <c r="B31" s="498"/>
      <c r="C31" s="498"/>
      <c r="D31" s="498"/>
      <c r="E31" s="499"/>
    </row>
    <row r="32" spans="1:5" ht="25.5" x14ac:dyDescent="0.25">
      <c r="A32" s="136" t="s">
        <v>337</v>
      </c>
      <c r="B32" s="127"/>
      <c r="C32" s="127"/>
      <c r="D32" s="127"/>
      <c r="E32" s="127"/>
    </row>
    <row r="33" spans="1:5" ht="15.75" x14ac:dyDescent="0.25">
      <c r="A33" s="157" t="s">
        <v>338</v>
      </c>
      <c r="B33" s="127"/>
      <c r="C33" s="127"/>
      <c r="D33" s="127"/>
      <c r="E33" s="127"/>
    </row>
    <row r="34" spans="1:5" ht="15.75" x14ac:dyDescent="0.25">
      <c r="A34" s="157" t="s">
        <v>339</v>
      </c>
      <c r="B34" s="127"/>
      <c r="C34" s="127"/>
      <c r="D34" s="127"/>
      <c r="E34" s="127"/>
    </row>
    <row r="35" spans="1:5" ht="15.75" x14ac:dyDescent="0.25">
      <c r="A35" s="157" t="s">
        <v>340</v>
      </c>
      <c r="B35" s="127"/>
      <c r="C35" s="127"/>
      <c r="D35" s="127"/>
      <c r="E35" s="127"/>
    </row>
    <row r="36" spans="1:5" x14ac:dyDescent="0.25">
      <c r="A36" s="479" t="s">
        <v>341</v>
      </c>
      <c r="B36" s="480"/>
      <c r="C36" s="480"/>
      <c r="D36" s="480"/>
      <c r="E36" s="481"/>
    </row>
    <row r="37" spans="1:5" ht="15.75" x14ac:dyDescent="0.25">
      <c r="A37" s="157" t="s">
        <v>342</v>
      </c>
      <c r="B37" s="127"/>
      <c r="C37" s="127"/>
      <c r="D37" s="127"/>
      <c r="E37" s="127"/>
    </row>
    <row r="38" spans="1:5" ht="24" x14ac:dyDescent="0.25">
      <c r="A38" s="157" t="s">
        <v>343</v>
      </c>
      <c r="B38" s="127"/>
      <c r="C38" s="127"/>
      <c r="D38" s="127"/>
      <c r="E38" s="127"/>
    </row>
    <row r="39" spans="1:5" ht="24" x14ac:dyDescent="0.25">
      <c r="A39" s="157" t="s">
        <v>344</v>
      </c>
      <c r="B39" s="127"/>
      <c r="C39" s="127"/>
      <c r="D39" s="127"/>
      <c r="E39" s="127"/>
    </row>
    <row r="40" spans="1:5" ht="24" x14ac:dyDescent="0.25">
      <c r="A40" s="157" t="s">
        <v>345</v>
      </c>
      <c r="B40" s="127"/>
      <c r="C40" s="127"/>
      <c r="D40" s="127"/>
      <c r="E40" s="127"/>
    </row>
    <row r="41" spans="1:5" ht="15.75" x14ac:dyDescent="0.25">
      <c r="A41" s="157" t="s">
        <v>346</v>
      </c>
      <c r="B41" s="127"/>
      <c r="C41" s="127"/>
      <c r="D41" s="127"/>
      <c r="E41" s="127"/>
    </row>
    <row r="42" spans="1:5" x14ac:dyDescent="0.25">
      <c r="A42" s="479" t="s">
        <v>347</v>
      </c>
      <c r="B42" s="480"/>
      <c r="C42" s="480"/>
      <c r="D42" s="480"/>
      <c r="E42" s="481"/>
    </row>
    <row r="43" spans="1:5" ht="15.75" x14ac:dyDescent="0.25">
      <c r="A43" s="136" t="s">
        <v>348</v>
      </c>
      <c r="B43" s="127"/>
      <c r="C43" s="127"/>
      <c r="D43" s="127"/>
      <c r="E43" s="127"/>
    </row>
    <row r="44" spans="1:5" ht="15.75" x14ac:dyDescent="0.25">
      <c r="A44" s="136" t="s">
        <v>349</v>
      </c>
      <c r="B44" s="127"/>
      <c r="C44" s="127"/>
      <c r="D44" s="127"/>
      <c r="E44" s="127"/>
    </row>
    <row r="45" spans="1:5" ht="15.75" x14ac:dyDescent="0.25">
      <c r="A45" s="136" t="s">
        <v>350</v>
      </c>
      <c r="B45" s="127"/>
      <c r="C45" s="127"/>
      <c r="D45" s="127"/>
      <c r="E45" s="127"/>
    </row>
    <row r="46" spans="1:5" ht="15.75" x14ac:dyDescent="0.25">
      <c r="A46" s="136" t="s">
        <v>351</v>
      </c>
      <c r="B46" s="127"/>
      <c r="C46" s="127"/>
      <c r="D46" s="127"/>
      <c r="E46" s="127"/>
    </row>
    <row r="47" spans="1:5" ht="24" x14ac:dyDescent="0.25">
      <c r="A47" s="136" t="s">
        <v>364</v>
      </c>
      <c r="B47" s="127"/>
      <c r="C47" s="127"/>
      <c r="D47" s="127"/>
      <c r="E47" s="127"/>
    </row>
    <row r="48" spans="1:5" ht="15.75" x14ac:dyDescent="0.25">
      <c r="A48" s="157" t="s">
        <v>352</v>
      </c>
      <c r="B48" s="127"/>
      <c r="C48" s="127"/>
      <c r="D48" s="127"/>
      <c r="E48" s="127"/>
    </row>
    <row r="49" spans="1:5" x14ac:dyDescent="0.25">
      <c r="A49" s="479" t="s">
        <v>353</v>
      </c>
      <c r="B49" s="480"/>
      <c r="C49" s="480"/>
      <c r="D49" s="480"/>
      <c r="E49" s="481"/>
    </row>
    <row r="50" spans="1:5" ht="15.75" x14ac:dyDescent="0.25">
      <c r="A50" s="157" t="s">
        <v>354</v>
      </c>
      <c r="B50" s="127"/>
      <c r="C50" s="127"/>
      <c r="D50" s="127"/>
      <c r="E50" s="127"/>
    </row>
    <row r="51" spans="1:5" ht="15.75" x14ac:dyDescent="0.25">
      <c r="A51" s="136" t="s">
        <v>355</v>
      </c>
      <c r="B51" s="127"/>
      <c r="C51" s="127"/>
      <c r="D51" s="127"/>
      <c r="E51" s="127"/>
    </row>
    <row r="52" spans="1:5" ht="15.75" x14ac:dyDescent="0.25">
      <c r="A52" s="136" t="s">
        <v>356</v>
      </c>
      <c r="B52" s="127"/>
      <c r="C52" s="127"/>
      <c r="D52" s="127"/>
      <c r="E52" s="127"/>
    </row>
    <row r="53" spans="1:5" ht="15.75" x14ac:dyDescent="0.25">
      <c r="A53" s="136" t="s">
        <v>357</v>
      </c>
      <c r="B53" s="127"/>
      <c r="C53" s="127"/>
      <c r="D53" s="127"/>
      <c r="E53" s="127"/>
    </row>
    <row r="54" spans="1:5" ht="15.75" x14ac:dyDescent="0.25">
      <c r="A54" s="136" t="s">
        <v>358</v>
      </c>
      <c r="B54" s="127"/>
      <c r="C54" s="127"/>
      <c r="D54" s="127"/>
      <c r="E54" s="127"/>
    </row>
    <row r="55" spans="1:5" ht="15.75" x14ac:dyDescent="0.25">
      <c r="A55" s="136" t="s">
        <v>359</v>
      </c>
      <c r="B55" s="127"/>
      <c r="C55" s="127"/>
      <c r="D55" s="127"/>
      <c r="E55" s="127"/>
    </row>
    <row r="56" spans="1:5" ht="24" x14ac:dyDescent="0.25">
      <c r="A56" s="136" t="s">
        <v>366</v>
      </c>
      <c r="B56" s="127"/>
      <c r="C56" s="127"/>
      <c r="D56" s="127"/>
      <c r="E56" s="127"/>
    </row>
    <row r="57" spans="1:5" x14ac:dyDescent="0.25">
      <c r="A57" s="479" t="s">
        <v>360</v>
      </c>
      <c r="B57" s="480"/>
      <c r="C57" s="480"/>
      <c r="D57" s="480"/>
      <c r="E57" s="481"/>
    </row>
    <row r="58" spans="1:5" ht="15.75" x14ac:dyDescent="0.25">
      <c r="A58" s="136" t="s">
        <v>361</v>
      </c>
      <c r="B58" s="127"/>
      <c r="C58" s="127"/>
      <c r="D58" s="127"/>
      <c r="E58" s="127"/>
    </row>
    <row r="59" spans="1:5" ht="15.75" x14ac:dyDescent="0.25">
      <c r="A59" s="157" t="s">
        <v>362</v>
      </c>
      <c r="B59" s="127"/>
      <c r="C59" s="127"/>
      <c r="D59" s="127"/>
      <c r="E59" s="127"/>
    </row>
    <row r="60" spans="1:5" ht="24" x14ac:dyDescent="0.25">
      <c r="A60" s="157" t="s">
        <v>363</v>
      </c>
      <c r="B60" s="127"/>
      <c r="C60" s="127"/>
      <c r="D60" s="127"/>
      <c r="E60" s="127"/>
    </row>
  </sheetData>
  <sheetProtection password="CC15" sheet="1" objects="1" scenarios="1"/>
  <mergeCells count="12">
    <mergeCell ref="A57:E57"/>
    <mergeCell ref="A2:E2"/>
    <mergeCell ref="A5:E5"/>
    <mergeCell ref="A6:E6"/>
    <mergeCell ref="A10:E10"/>
    <mergeCell ref="A20:E20"/>
    <mergeCell ref="A24:E24"/>
    <mergeCell ref="A27:E27"/>
    <mergeCell ref="A31:E31"/>
    <mergeCell ref="A36:E36"/>
    <mergeCell ref="A42:E42"/>
    <mergeCell ref="A49:E49"/>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D45"/>
  <sheetViews>
    <sheetView showGridLines="0" showRowColHeaders="0" workbookViewId="0">
      <pane ySplit="1" topLeftCell="A2" activePane="bottomLeft" state="frozen"/>
      <selection pane="bottomLeft" activeCell="H17" sqref="H17"/>
    </sheetView>
  </sheetViews>
  <sheetFormatPr defaultRowHeight="15" x14ac:dyDescent="0.25"/>
  <cols>
    <col min="1" max="1" width="54.85546875" customWidth="1"/>
  </cols>
  <sheetData>
    <row r="1" spans="1:4" ht="22.5" x14ac:dyDescent="0.25">
      <c r="A1" s="123"/>
      <c r="B1" s="125" t="s">
        <v>132</v>
      </c>
      <c r="C1" s="125" t="s">
        <v>133</v>
      </c>
      <c r="D1" s="125" t="s">
        <v>134</v>
      </c>
    </row>
    <row r="2" spans="1:4" x14ac:dyDescent="0.25">
      <c r="A2" s="506" t="s">
        <v>154</v>
      </c>
      <c r="B2" s="501"/>
      <c r="C2" s="501"/>
      <c r="D2" s="502"/>
    </row>
    <row r="3" spans="1:4" ht="15.75" x14ac:dyDescent="0.25">
      <c r="A3" s="140" t="s">
        <v>208</v>
      </c>
      <c r="B3" s="127"/>
      <c r="C3" s="127"/>
      <c r="D3" s="127"/>
    </row>
    <row r="4" spans="1:4" ht="15.75" x14ac:dyDescent="0.25">
      <c r="A4" s="136" t="s">
        <v>209</v>
      </c>
      <c r="B4" s="127"/>
      <c r="C4" s="127"/>
      <c r="D4" s="127"/>
    </row>
    <row r="5" spans="1:4" ht="36.75" x14ac:dyDescent="0.25">
      <c r="A5" s="163" t="s">
        <v>372</v>
      </c>
      <c r="B5" s="127"/>
      <c r="C5" s="127"/>
      <c r="D5" s="127"/>
    </row>
    <row r="6" spans="1:4" ht="15.75" x14ac:dyDescent="0.25">
      <c r="A6" s="136" t="s">
        <v>210</v>
      </c>
      <c r="B6" s="127"/>
      <c r="C6" s="127"/>
      <c r="D6" s="127"/>
    </row>
    <row r="7" spans="1:4" ht="24.75" x14ac:dyDescent="0.25">
      <c r="A7" s="140" t="s">
        <v>373</v>
      </c>
      <c r="B7" s="127"/>
      <c r="C7" s="127"/>
      <c r="D7" s="127"/>
    </row>
    <row r="8" spans="1:4" ht="72" x14ac:dyDescent="0.25">
      <c r="A8" s="136" t="s">
        <v>374</v>
      </c>
      <c r="B8" s="127"/>
      <c r="C8" s="127"/>
      <c r="D8" s="127"/>
    </row>
    <row r="9" spans="1:4" ht="15.75" x14ac:dyDescent="0.25">
      <c r="A9" s="140" t="s">
        <v>211</v>
      </c>
      <c r="B9" s="127"/>
      <c r="C9" s="127"/>
      <c r="D9" s="127"/>
    </row>
    <row r="10" spans="1:4" ht="15.75" x14ac:dyDescent="0.25">
      <c r="A10" s="136" t="s">
        <v>212</v>
      </c>
      <c r="B10" s="127"/>
      <c r="C10" s="127"/>
      <c r="D10" s="127"/>
    </row>
    <row r="11" spans="1:4" x14ac:dyDescent="0.25">
      <c r="A11" s="500" t="s">
        <v>213</v>
      </c>
      <c r="B11" s="501"/>
      <c r="C11" s="501"/>
      <c r="D11" s="502"/>
    </row>
    <row r="12" spans="1:4" ht="15.75" x14ac:dyDescent="0.25">
      <c r="A12" s="140" t="s">
        <v>214</v>
      </c>
      <c r="B12" s="127"/>
      <c r="C12" s="127"/>
      <c r="D12" s="127"/>
    </row>
    <row r="13" spans="1:4" ht="24" x14ac:dyDescent="0.25">
      <c r="A13" s="136" t="s">
        <v>215</v>
      </c>
      <c r="B13" s="127"/>
      <c r="C13" s="127"/>
      <c r="D13" s="127"/>
    </row>
    <row r="14" spans="1:4" ht="15.75" x14ac:dyDescent="0.25">
      <c r="A14" s="140" t="s">
        <v>216</v>
      </c>
      <c r="B14" s="127"/>
      <c r="C14" s="127"/>
      <c r="D14" s="127"/>
    </row>
    <row r="15" spans="1:4" x14ac:dyDescent="0.25">
      <c r="A15" s="503" t="s">
        <v>175</v>
      </c>
      <c r="B15" s="504"/>
      <c r="C15" s="504"/>
      <c r="D15" s="505"/>
    </row>
    <row r="16" spans="1:4" ht="15.75" x14ac:dyDescent="0.25">
      <c r="A16" s="139" t="s">
        <v>217</v>
      </c>
      <c r="B16" s="127"/>
      <c r="C16" s="127"/>
      <c r="D16" s="127"/>
    </row>
    <row r="17" spans="1:4" ht="15.75" x14ac:dyDescent="0.25">
      <c r="A17" s="141" t="s">
        <v>218</v>
      </c>
      <c r="B17" s="127"/>
      <c r="C17" s="127"/>
      <c r="D17" s="127"/>
    </row>
    <row r="18" spans="1:4" ht="15.75" x14ac:dyDescent="0.25">
      <c r="A18" s="141" t="s">
        <v>219</v>
      </c>
      <c r="B18" s="127"/>
      <c r="C18" s="127"/>
      <c r="D18" s="127"/>
    </row>
    <row r="19" spans="1:4" ht="24" x14ac:dyDescent="0.25">
      <c r="A19" s="139" t="s">
        <v>220</v>
      </c>
      <c r="B19" s="127"/>
      <c r="C19" s="127"/>
      <c r="D19" s="127"/>
    </row>
    <row r="20" spans="1:4" ht="15.75" x14ac:dyDescent="0.25">
      <c r="A20" s="139" t="s">
        <v>221</v>
      </c>
      <c r="B20" s="127"/>
      <c r="C20" s="127"/>
      <c r="D20" s="127"/>
    </row>
    <row r="21" spans="1:4" x14ac:dyDescent="0.25">
      <c r="A21" s="503" t="s">
        <v>181</v>
      </c>
      <c r="B21" s="504"/>
      <c r="C21" s="504"/>
      <c r="D21" s="505"/>
    </row>
    <row r="22" spans="1:4" ht="37.5" x14ac:dyDescent="0.25">
      <c r="A22" s="132" t="s">
        <v>241</v>
      </c>
      <c r="B22" s="127"/>
      <c r="C22" s="127"/>
      <c r="D22" s="127"/>
    </row>
    <row r="23" spans="1:4" ht="49.5" x14ac:dyDescent="0.25">
      <c r="A23" s="139" t="s">
        <v>222</v>
      </c>
      <c r="B23" s="127"/>
      <c r="C23" s="127"/>
      <c r="D23" s="127"/>
    </row>
    <row r="24" spans="1:4" ht="15.75" x14ac:dyDescent="0.25">
      <c r="A24" s="132" t="s">
        <v>223</v>
      </c>
      <c r="B24" s="127"/>
      <c r="C24" s="127"/>
      <c r="D24" s="127"/>
    </row>
    <row r="25" spans="1:4" ht="24" x14ac:dyDescent="0.25">
      <c r="A25" s="132" t="s">
        <v>224</v>
      </c>
      <c r="B25" s="127"/>
      <c r="C25" s="127"/>
      <c r="D25" s="127"/>
    </row>
    <row r="26" spans="1:4" x14ac:dyDescent="0.25">
      <c r="A26" s="503" t="s">
        <v>186</v>
      </c>
      <c r="B26" s="504"/>
      <c r="C26" s="504"/>
      <c r="D26" s="505"/>
    </row>
    <row r="27" spans="1:4" x14ac:dyDescent="0.25">
      <c r="A27" s="349" t="s">
        <v>225</v>
      </c>
      <c r="B27" s="507"/>
      <c r="C27" s="507"/>
      <c r="D27" s="508"/>
    </row>
    <row r="28" spans="1:4" ht="15.75" x14ac:dyDescent="0.25">
      <c r="A28" s="136" t="s">
        <v>226</v>
      </c>
      <c r="B28" s="127"/>
      <c r="C28" s="127"/>
      <c r="D28" s="127"/>
    </row>
    <row r="29" spans="1:4" ht="15.75" x14ac:dyDescent="0.25">
      <c r="A29" s="136" t="s">
        <v>227</v>
      </c>
      <c r="B29" s="127"/>
      <c r="C29" s="127"/>
      <c r="D29" s="127"/>
    </row>
    <row r="30" spans="1:4" ht="15.75" x14ac:dyDescent="0.25">
      <c r="A30" s="139" t="s">
        <v>228</v>
      </c>
      <c r="B30" s="127"/>
      <c r="C30" s="127"/>
      <c r="D30" s="127"/>
    </row>
    <row r="31" spans="1:4" ht="15.75" x14ac:dyDescent="0.25">
      <c r="A31" s="141" t="s">
        <v>229</v>
      </c>
      <c r="B31" s="127"/>
      <c r="C31" s="127"/>
      <c r="D31" s="127"/>
    </row>
    <row r="32" spans="1:4" ht="24" x14ac:dyDescent="0.25">
      <c r="A32" s="139" t="s">
        <v>230</v>
      </c>
      <c r="B32" s="127"/>
      <c r="C32" s="127"/>
      <c r="D32" s="127"/>
    </row>
    <row r="33" spans="1:4" x14ac:dyDescent="0.25">
      <c r="A33" s="500" t="s">
        <v>231</v>
      </c>
      <c r="B33" s="501"/>
      <c r="C33" s="501"/>
      <c r="D33" s="502"/>
    </row>
    <row r="34" spans="1:4" ht="15.75" x14ac:dyDescent="0.25">
      <c r="A34" s="142" t="s">
        <v>232</v>
      </c>
      <c r="B34" s="127"/>
      <c r="C34" s="127"/>
      <c r="D34" s="127"/>
    </row>
    <row r="35" spans="1:4" ht="15.75" x14ac:dyDescent="0.25">
      <c r="A35" s="142" t="s">
        <v>233</v>
      </c>
      <c r="B35" s="127"/>
      <c r="C35" s="127"/>
      <c r="D35" s="127"/>
    </row>
    <row r="36" spans="1:4" ht="36" x14ac:dyDescent="0.25">
      <c r="A36" s="142" t="s">
        <v>234</v>
      </c>
      <c r="B36" s="127"/>
      <c r="C36" s="127"/>
      <c r="D36" s="127"/>
    </row>
    <row r="37" spans="1:4" x14ac:dyDescent="0.25">
      <c r="A37" s="503" t="s">
        <v>198</v>
      </c>
      <c r="B37" s="504"/>
      <c r="C37" s="504"/>
      <c r="D37" s="505"/>
    </row>
    <row r="38" spans="1:4" ht="109.5" x14ac:dyDescent="0.25">
      <c r="A38" s="139" t="s">
        <v>375</v>
      </c>
      <c r="B38" s="127"/>
      <c r="C38" s="127"/>
      <c r="D38" s="127"/>
    </row>
    <row r="39" spans="1:4" ht="73.5" x14ac:dyDescent="0.25">
      <c r="A39" s="139" t="s">
        <v>235</v>
      </c>
      <c r="B39" s="127"/>
      <c r="C39" s="127"/>
      <c r="D39" s="127"/>
    </row>
    <row r="40" spans="1:4" ht="61.5" x14ac:dyDescent="0.25">
      <c r="A40" s="139" t="s">
        <v>236</v>
      </c>
      <c r="B40" s="127"/>
      <c r="C40" s="127"/>
      <c r="D40" s="127"/>
    </row>
    <row r="41" spans="1:4" x14ac:dyDescent="0.25">
      <c r="A41" s="357" t="s">
        <v>202</v>
      </c>
      <c r="B41" s="358"/>
      <c r="C41" s="358"/>
      <c r="D41" s="359"/>
    </row>
    <row r="42" spans="1:4" ht="15.75" x14ac:dyDescent="0.25">
      <c r="A42" s="141" t="s">
        <v>237</v>
      </c>
      <c r="B42" s="127"/>
      <c r="C42" s="127"/>
      <c r="D42" s="127"/>
    </row>
    <row r="43" spans="1:4" ht="24" x14ac:dyDescent="0.25">
      <c r="A43" s="139" t="s">
        <v>238</v>
      </c>
      <c r="B43" s="127"/>
      <c r="C43" s="127"/>
      <c r="D43" s="127"/>
    </row>
    <row r="44" spans="1:4" ht="15.75" x14ac:dyDescent="0.25">
      <c r="A44" s="141" t="s">
        <v>239</v>
      </c>
      <c r="B44" s="127"/>
      <c r="C44" s="127"/>
      <c r="D44" s="127"/>
    </row>
    <row r="45" spans="1:4" ht="36" x14ac:dyDescent="0.25">
      <c r="A45" s="141" t="s">
        <v>240</v>
      </c>
      <c r="B45" s="127"/>
      <c r="C45" s="127"/>
      <c r="D45" s="127"/>
    </row>
  </sheetData>
  <sheetProtection password="CC15" sheet="1" objects="1" scenarios="1"/>
  <mergeCells count="9">
    <mergeCell ref="A33:D33"/>
    <mergeCell ref="A37:D37"/>
    <mergeCell ref="A41:D41"/>
    <mergeCell ref="A2:D2"/>
    <mergeCell ref="A11:D11"/>
    <mergeCell ref="A15:D15"/>
    <mergeCell ref="A21:D21"/>
    <mergeCell ref="A26:D26"/>
    <mergeCell ref="A27:D27"/>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M19"/>
  <sheetViews>
    <sheetView workbookViewId="0">
      <selection activeCell="L18" sqref="L18"/>
    </sheetView>
  </sheetViews>
  <sheetFormatPr defaultRowHeight="15" x14ac:dyDescent="0.25"/>
  <cols>
    <col min="1" max="1" width="7.28515625" customWidth="1"/>
    <col min="2" max="2" width="7.7109375" customWidth="1"/>
    <col min="3" max="3" width="11.28515625" customWidth="1"/>
    <col min="4" max="4" width="7.7109375" customWidth="1"/>
    <col min="5" max="5" width="9.85546875" customWidth="1"/>
    <col min="6" max="6" width="8.42578125" customWidth="1"/>
    <col min="7" max="7" width="8.28515625" customWidth="1"/>
    <col min="8" max="8" width="9.28515625" customWidth="1"/>
    <col min="9" max="9" width="12.140625" customWidth="1"/>
    <col min="10" max="10" width="13.7109375" customWidth="1"/>
    <col min="11" max="11" width="11.28515625" customWidth="1"/>
    <col min="12" max="12" width="12" customWidth="1"/>
    <col min="13" max="13" width="11.28515625" customWidth="1"/>
  </cols>
  <sheetData>
    <row r="1" spans="1:13" x14ac:dyDescent="0.25">
      <c r="A1" s="58" t="s">
        <v>47</v>
      </c>
      <c r="B1" s="58" t="s">
        <v>56</v>
      </c>
      <c r="C1" s="58" t="s">
        <v>117</v>
      </c>
      <c r="D1" s="59" t="s">
        <v>57</v>
      </c>
      <c r="E1" s="58" t="s">
        <v>118</v>
      </c>
      <c r="F1" s="58" t="s">
        <v>119</v>
      </c>
      <c r="G1" s="60" t="s">
        <v>120</v>
      </c>
      <c r="H1" s="60" t="s">
        <v>121</v>
      </c>
      <c r="I1" s="58" t="s">
        <v>122</v>
      </c>
      <c r="J1" s="58" t="s">
        <v>123</v>
      </c>
      <c r="K1" s="58" t="s">
        <v>61</v>
      </c>
      <c r="L1" s="59" t="s">
        <v>62</v>
      </c>
      <c r="M1" s="59" t="s">
        <v>63</v>
      </c>
    </row>
    <row r="2" spans="1:13" x14ac:dyDescent="0.25">
      <c r="A2" s="61">
        <f>Performance!C3</f>
        <v>20</v>
      </c>
      <c r="B2" s="61">
        <f>Performance!C4</f>
        <v>1400</v>
      </c>
      <c r="C2" s="61">
        <f>LN(A2)</f>
        <v>2.9957322735539909</v>
      </c>
      <c r="D2" s="61">
        <f>LN(B2)</f>
        <v>7.2442275156033498</v>
      </c>
      <c r="E2" s="61">
        <f>C2*D2</f>
        <v>21.701766165460803</v>
      </c>
      <c r="F2" s="61">
        <f>C2^2</f>
        <v>8.9744118548129634</v>
      </c>
      <c r="G2" s="62">
        <f>LOG(A2)</f>
        <v>1.3010299956639813</v>
      </c>
      <c r="H2" s="62">
        <f>LOG(B2)</f>
        <v>3.1461280356782382</v>
      </c>
      <c r="I2" s="62">
        <f>(G2-($G$7/5))</f>
        <v>-0.27043650362227245</v>
      </c>
      <c r="J2" s="62">
        <f>(H2-($H$7/5))</f>
        <v>-0.19577100288653337</v>
      </c>
      <c r="K2" s="62">
        <f>I2*J2</f>
        <v>5.2943625531259891E-2</v>
      </c>
      <c r="L2" s="62">
        <f>I2^2</f>
        <v>7.3135902491439378E-2</v>
      </c>
      <c r="M2" s="62">
        <f>J2^2</f>
        <v>3.8326285571199062E-2</v>
      </c>
    </row>
    <row r="3" spans="1:13" x14ac:dyDescent="0.25">
      <c r="A3" s="61">
        <f>Performance!D3</f>
        <v>30</v>
      </c>
      <c r="B3" s="61">
        <f>Performance!D4</f>
        <v>1800</v>
      </c>
      <c r="C3" s="61">
        <f t="shared" ref="C3:C6" si="0">LN(A3)</f>
        <v>3.4011973816621555</v>
      </c>
      <c r="D3" s="61">
        <f t="shared" ref="D3:D6" si="1">LN(B3)</f>
        <v>7.4955419438842563</v>
      </c>
      <c r="E3" s="61">
        <f t="shared" ref="E3:E6" si="2">C3*D3</f>
        <v>25.493817633677995</v>
      </c>
      <c r="F3" s="61">
        <f t="shared" ref="F3:F6" si="3">C3^2</f>
        <v>11.568143629025503</v>
      </c>
      <c r="G3" s="62">
        <f t="shared" ref="G3:G6" si="4">LOG(A3)</f>
        <v>1.4771212547196624</v>
      </c>
      <c r="H3" s="62">
        <f t="shared" ref="H3:H6" si="5">LOG(B3)</f>
        <v>3.255272505103306</v>
      </c>
      <c r="I3" s="62">
        <f t="shared" ref="I3:I6" si="6">(G3-($G$7/5))</f>
        <v>-9.4345244566591324E-2</v>
      </c>
      <c r="J3" s="62">
        <f t="shared" ref="J3:J6" si="7">(H3-($H$7/5))</f>
        <v>-8.6626533461465538E-2</v>
      </c>
      <c r="K3" s="62">
        <f t="shared" ref="K3:K6" si="8">I3*J3</f>
        <v>8.1728014853779726E-3</v>
      </c>
      <c r="L3" s="62">
        <f t="shared" ref="L3:L6" si="9">I3^2</f>
        <v>8.9010251723299297E-3</v>
      </c>
      <c r="M3" s="62">
        <f t="shared" ref="M3:M6" si="10">J3^2</f>
        <v>7.5041562995504085E-3</v>
      </c>
    </row>
    <row r="4" spans="1:13" x14ac:dyDescent="0.25">
      <c r="A4" s="61">
        <f>Performance!E3</f>
        <v>40</v>
      </c>
      <c r="B4" s="61">
        <f>Performance!E4</f>
        <v>2200</v>
      </c>
      <c r="C4" s="61">
        <f t="shared" si="0"/>
        <v>3.6888794541139363</v>
      </c>
      <c r="D4" s="61">
        <f t="shared" si="1"/>
        <v>7.696212639346407</v>
      </c>
      <c r="E4" s="61">
        <f t="shared" si="2"/>
        <v>28.390400679776949</v>
      </c>
      <c r="F4" s="61">
        <f t="shared" si="3"/>
        <v>13.607831626983932</v>
      </c>
      <c r="G4" s="62">
        <f t="shared" si="4"/>
        <v>1.6020599913279623</v>
      </c>
      <c r="H4" s="62">
        <f t="shared" si="5"/>
        <v>3.3424226808222062</v>
      </c>
      <c r="I4" s="62">
        <f t="shared" si="6"/>
        <v>3.0593492041708581E-2</v>
      </c>
      <c r="J4" s="62">
        <f t="shared" si="7"/>
        <v>5.2364225743462001E-4</v>
      </c>
      <c r="K4" s="62">
        <f t="shared" si="8"/>
        <v>1.6020045235528362E-5</v>
      </c>
      <c r="L4" s="62">
        <f t="shared" si="9"/>
        <v>9.3596175530608625E-4</v>
      </c>
      <c r="M4" s="62">
        <f t="shared" si="10"/>
        <v>2.7420121377122483E-7</v>
      </c>
    </row>
    <row r="5" spans="1:13" x14ac:dyDescent="0.25">
      <c r="A5" s="61">
        <f>Performance!F3</f>
        <v>50</v>
      </c>
      <c r="B5" s="61">
        <f>Performance!F4</f>
        <v>2800</v>
      </c>
      <c r="C5" s="61">
        <f t="shared" si="0"/>
        <v>3.912023005428146</v>
      </c>
      <c r="D5" s="61">
        <f t="shared" si="1"/>
        <v>7.9373746961632952</v>
      </c>
      <c r="E5" s="61">
        <f t="shared" si="2"/>
        <v>31.05119241409405</v>
      </c>
      <c r="F5" s="61">
        <f t="shared" si="3"/>
        <v>15.303923994999064</v>
      </c>
      <c r="G5" s="62">
        <f t="shared" si="4"/>
        <v>1.6989700043360187</v>
      </c>
      <c r="H5" s="62">
        <f t="shared" si="5"/>
        <v>3.4471580313422194</v>
      </c>
      <c r="I5" s="62">
        <f t="shared" si="6"/>
        <v>0.12750350504976504</v>
      </c>
      <c r="J5" s="62">
        <f t="shared" si="7"/>
        <v>0.10525899277744788</v>
      </c>
      <c r="K5" s="62">
        <f t="shared" si="8"/>
        <v>1.3420890517132508E-2</v>
      </c>
      <c r="L5" s="62">
        <f t="shared" si="9"/>
        <v>1.6257143799975459E-2</v>
      </c>
      <c r="M5" s="62">
        <f t="shared" si="10"/>
        <v>1.1079455560522825E-2</v>
      </c>
    </row>
    <row r="6" spans="1:13" ht="15.75" thickBot="1" x14ac:dyDescent="0.3">
      <c r="A6" s="61">
        <f>Performance!G3</f>
        <v>60</v>
      </c>
      <c r="B6" s="61">
        <f>Performance!G4</f>
        <v>3300</v>
      </c>
      <c r="C6" s="63">
        <f t="shared" si="0"/>
        <v>4.0943445622221004</v>
      </c>
      <c r="D6" s="63">
        <f t="shared" si="1"/>
        <v>8.1016777474545716</v>
      </c>
      <c r="E6" s="63">
        <f t="shared" si="2"/>
        <v>33.171060230166418</v>
      </c>
      <c r="F6" s="63">
        <f t="shared" si="3"/>
        <v>16.763657394197683</v>
      </c>
      <c r="G6" s="64">
        <f t="shared" si="4"/>
        <v>1.7781512503836436</v>
      </c>
      <c r="H6" s="65">
        <f t="shared" si="5"/>
        <v>3.5185139398778875</v>
      </c>
      <c r="I6" s="65">
        <f t="shared" si="6"/>
        <v>0.20668475109738993</v>
      </c>
      <c r="J6" s="65">
        <f t="shared" si="7"/>
        <v>0.17661490131311597</v>
      </c>
      <c r="K6" s="65">
        <f t="shared" si="8"/>
        <v>3.6503606917991462E-2</v>
      </c>
      <c r="L6" s="65">
        <f t="shared" si="9"/>
        <v>4.271858633619003E-2</v>
      </c>
      <c r="M6" s="65">
        <f t="shared" si="10"/>
        <v>3.1192823365841692E-2</v>
      </c>
    </row>
    <row r="7" spans="1:13" ht="15.75" thickTop="1" x14ac:dyDescent="0.25">
      <c r="A7" s="61"/>
      <c r="B7" s="66" t="s">
        <v>55</v>
      </c>
      <c r="C7" s="61">
        <f>SUM(C2:C6)</f>
        <v>18.09217667698033</v>
      </c>
      <c r="D7" s="61">
        <f t="shared" ref="D7:F7" si="11">SUM(D2:D6)</f>
        <v>38.47503454245188</v>
      </c>
      <c r="E7" s="61">
        <f t="shared" si="11"/>
        <v>139.80823712317621</v>
      </c>
      <c r="F7" s="61">
        <f t="shared" si="11"/>
        <v>66.21796850001914</v>
      </c>
      <c r="G7" s="61">
        <f t="shared" ref="G7" si="12">SUM(G2:G6)</f>
        <v>7.857332496431269</v>
      </c>
      <c r="H7" s="61">
        <f t="shared" ref="H7:M7" si="13">SUM(H2:H6)</f>
        <v>16.709495192823859</v>
      </c>
      <c r="I7" s="67">
        <f t="shared" si="13"/>
        <v>-2.2204460492503131E-16</v>
      </c>
      <c r="J7" s="67">
        <f t="shared" si="13"/>
        <v>-4.4408920985006262E-16</v>
      </c>
      <c r="K7" s="68">
        <f t="shared" si="13"/>
        <v>0.11105694449699735</v>
      </c>
      <c r="L7" s="61">
        <f t="shared" si="13"/>
        <v>0.14194861955524088</v>
      </c>
      <c r="M7" s="61">
        <f t="shared" si="13"/>
        <v>8.8102994998327758E-2</v>
      </c>
    </row>
    <row r="8" spans="1:13" x14ac:dyDescent="0.25">
      <c r="A8" s="61"/>
      <c r="B8" s="66"/>
      <c r="C8" s="61"/>
      <c r="D8" s="61"/>
      <c r="E8" s="61"/>
      <c r="F8" s="61"/>
      <c r="G8" s="61"/>
      <c r="H8" s="61"/>
      <c r="I8" s="67"/>
      <c r="J8" s="67"/>
      <c r="K8" s="68"/>
      <c r="L8" s="61"/>
      <c r="M8" s="61"/>
    </row>
    <row r="9" spans="1:13" x14ac:dyDescent="0.25">
      <c r="A9" s="61"/>
      <c r="B9" s="66"/>
      <c r="C9" s="61">
        <f>C7*D7</f>
        <v>696.09712259496041</v>
      </c>
      <c r="D9" s="61"/>
      <c r="E9" s="61">
        <f>5*E7</f>
        <v>699.04118561588109</v>
      </c>
      <c r="F9" s="61">
        <f>5*F7</f>
        <v>331.0898425000957</v>
      </c>
      <c r="G9" s="61"/>
      <c r="H9" s="61"/>
      <c r="I9" s="67"/>
      <c r="J9" s="67"/>
      <c r="K9" s="68"/>
      <c r="L9" s="61"/>
      <c r="M9" s="61"/>
    </row>
    <row r="10" spans="1:13" x14ac:dyDescent="0.25">
      <c r="A10" s="61"/>
      <c r="B10" s="66"/>
      <c r="C10" s="61">
        <f>C7^2</f>
        <v>327.32685691107099</v>
      </c>
      <c r="D10" s="61"/>
      <c r="E10" s="61"/>
      <c r="F10" s="61"/>
      <c r="G10" s="61"/>
      <c r="H10" s="61"/>
      <c r="I10" s="67"/>
      <c r="J10" s="67"/>
      <c r="K10" s="68"/>
      <c r="L10" s="61"/>
      <c r="M10" s="61"/>
    </row>
    <row r="11" spans="1:13" x14ac:dyDescent="0.25">
      <c r="A11" s="62"/>
      <c r="B11" s="62"/>
      <c r="C11" s="62"/>
      <c r="D11" s="62"/>
      <c r="E11" s="62"/>
      <c r="F11" s="62"/>
      <c r="G11" s="62"/>
      <c r="H11" s="62"/>
      <c r="I11" s="62"/>
      <c r="J11" s="62"/>
      <c r="K11" s="62"/>
      <c r="L11" s="62"/>
      <c r="M11" s="62"/>
    </row>
    <row r="12" spans="1:13" x14ac:dyDescent="0.25">
      <c r="A12" s="62"/>
      <c r="B12" s="11" t="s">
        <v>59</v>
      </c>
      <c r="C12" s="177">
        <f>IFERROR(2.71828^((D7/5)-(C13*(C7/5))),"N/A")</f>
        <v>129.54560894522456</v>
      </c>
      <c r="D12" s="62"/>
      <c r="E12" s="62"/>
      <c r="F12" s="62"/>
      <c r="G12" s="62"/>
      <c r="H12" s="62"/>
      <c r="I12" s="62"/>
      <c r="J12" s="62"/>
      <c r="K12" s="62"/>
      <c r="L12" s="62"/>
      <c r="M12" s="62"/>
    </row>
    <row r="13" spans="1:13" x14ac:dyDescent="0.25">
      <c r="A13" s="62"/>
      <c r="B13" s="11" t="s">
        <v>58</v>
      </c>
      <c r="C13" s="179">
        <f>((5*E7)-(C7*D7))/((5*F7)-(C7^2))</f>
        <v>0.78237424812560152</v>
      </c>
      <c r="D13" s="62"/>
      <c r="E13" s="11" t="s">
        <v>64</v>
      </c>
      <c r="F13" s="176">
        <f>IFERROR(10^(C13*LOG(50)+LOG(C12)),"N/A")</f>
        <v>2764.7322374450828</v>
      </c>
      <c r="G13" s="62"/>
      <c r="H13" s="62"/>
      <c r="I13" s="62"/>
      <c r="J13" s="62"/>
      <c r="K13" s="62"/>
      <c r="L13" s="62"/>
      <c r="M13" s="62"/>
    </row>
    <row r="14" spans="1:13" x14ac:dyDescent="0.25">
      <c r="A14" s="62"/>
      <c r="B14" s="11" t="s">
        <v>60</v>
      </c>
      <c r="C14" s="178">
        <f>IFERROR(K7/(L7*M7)^0.5,"N/A")</f>
        <v>0.99308128562387332</v>
      </c>
      <c r="D14" s="62"/>
      <c r="E14" s="11" t="s">
        <v>65</v>
      </c>
      <c r="F14" s="67">
        <f>IFERROR((F13*60)/(SUM(Envelope!B3:B4)*Envelope!B2),"N/A")</f>
        <v>6.208231072107222</v>
      </c>
      <c r="G14" s="62"/>
      <c r="H14" s="62"/>
      <c r="I14" s="62"/>
      <c r="J14" s="62"/>
      <c r="K14" s="62"/>
      <c r="L14" s="62"/>
      <c r="M14" s="62"/>
    </row>
    <row r="15" spans="1:13" x14ac:dyDescent="0.25">
      <c r="A15" s="1"/>
      <c r="B15" s="1"/>
      <c r="C15" s="1"/>
      <c r="D15" s="1"/>
      <c r="E15" s="1"/>
      <c r="F15" s="1"/>
      <c r="G15" s="1"/>
      <c r="H15" s="1"/>
      <c r="I15" s="1"/>
      <c r="J15" s="1"/>
      <c r="K15" s="1"/>
      <c r="L15" s="1"/>
      <c r="M15" s="1"/>
    </row>
    <row r="16" spans="1:13" x14ac:dyDescent="0.25">
      <c r="A16" s="1"/>
      <c r="B16" s="11" t="s">
        <v>378</v>
      </c>
      <c r="C16" s="179">
        <f>IFERROR((E9-C9)/(F9-C10),"N/A")</f>
        <v>0.78237424812560152</v>
      </c>
      <c r="D16" s="1"/>
      <c r="E16" s="1"/>
      <c r="F16" s="1"/>
      <c r="G16" s="1"/>
      <c r="H16" s="1"/>
      <c r="I16" s="1"/>
      <c r="J16" s="1"/>
      <c r="K16" s="1"/>
      <c r="L16" s="1"/>
      <c r="M16" s="1"/>
    </row>
    <row r="19" spans="3:3" x14ac:dyDescent="0.25">
      <c r="C19" s="179"/>
    </row>
  </sheetData>
  <sheetProtection password="CC15" sheet="1" objects="1" scenarios="1"/>
  <sortState xmlns:xlrd2="http://schemas.microsoft.com/office/spreadsheetml/2017/richdata2" ref="A13:A19">
    <sortCondition ref="A13"/>
  </sortState>
  <dataValidations count="1">
    <dataValidation type="custom" allowBlank="1" showInputMessage="1" showErrorMessage="1" error="out of range" sqref="C13 C19" xr:uid="{00000000-0002-0000-0B00-000000000000}">
      <formula1>IF(0.5&lt;C13&lt;0.79,C13,"out of range")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8</vt:i4>
      </vt:variant>
    </vt:vector>
  </HeadingPairs>
  <TitlesOfParts>
    <vt:vector size="20" baseType="lpstr">
      <vt:lpstr>Office</vt:lpstr>
      <vt:lpstr>TEC-Master</vt:lpstr>
      <vt:lpstr>HVACR- Master</vt:lpstr>
      <vt:lpstr>Report</vt:lpstr>
      <vt:lpstr>HVAC</vt:lpstr>
      <vt:lpstr>Sheet1</vt:lpstr>
      <vt:lpstr>Appliances</vt:lpstr>
      <vt:lpstr>Envelope</vt:lpstr>
      <vt:lpstr>Performance</vt:lpstr>
      <vt:lpstr>TEC</vt:lpstr>
      <vt:lpstr>HVACR</vt:lpstr>
      <vt:lpstr>regression</vt:lpstr>
      <vt:lpstr>acmfg</vt:lpstr>
      <vt:lpstr>actype</vt:lpstr>
      <vt:lpstr>area</vt:lpstr>
      <vt:lpstr>dhwlocation</vt:lpstr>
      <vt:lpstr>dhwtype</vt:lpstr>
      <vt:lpstr>ductlocation</vt:lpstr>
      <vt:lpstr>fueltype</vt:lpstr>
      <vt:lpstr>heatsize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 Karras</dc:creator>
  <cp:lastModifiedBy>giovanni</cp:lastModifiedBy>
  <cp:lastPrinted>2014-08-28T15:24:37Z</cp:lastPrinted>
  <dcterms:created xsi:type="dcterms:W3CDTF">2014-05-09T16:50:58Z</dcterms:created>
  <dcterms:modified xsi:type="dcterms:W3CDTF">2019-12-09T21:28:07Z</dcterms:modified>
</cp:coreProperties>
</file>